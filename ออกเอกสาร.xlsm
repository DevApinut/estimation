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G:\webforestimate\"/>
    </mc:Choice>
  </mc:AlternateContent>
  <xr:revisionPtr revIDLastSave="0" documentId="13_ncr:1_{0E72695D-3F49-4633-89D7-9625D10A8E55}" xr6:coauthVersionLast="47" xr6:coauthVersionMax="47" xr10:uidLastSave="{00000000-0000-0000-0000-000000000000}"/>
  <bookViews>
    <workbookView xWindow="-108" yWindow="-108" windowWidth="23256" windowHeight="12456" firstSheet="7" activeTab="28" xr2:uid="{00000000-000D-0000-FFFF-FFFF00000000}"/>
  </bookViews>
  <sheets>
    <sheet name="T&gt;500" sheetId="824" state="hidden" r:id="rId1"/>
    <sheet name="T400" sheetId="825" state="hidden" r:id="rId2"/>
    <sheet name="T250-315" sheetId="826" state="hidden" r:id="rId3"/>
    <sheet name="T30-160" sheetId="827" state="hidden" r:id="rId4"/>
    <sheet name="T &gt;500" sheetId="819" state="hidden" r:id="rId5"/>
    <sheet name="T 400" sheetId="820" state="hidden" r:id="rId6"/>
    <sheet name="T 250-315" sheetId="821" state="hidden" r:id="rId7"/>
    <sheet name="T 30-160" sheetId="822" r:id="rId8"/>
    <sheet name="Print" sheetId="12" state="hidden" r:id="rId9"/>
    <sheet name="Customertable" sheetId="782" state="hidden" r:id="rId10"/>
    <sheet name="หน้าหลัก" sheetId="5" r:id="rId11"/>
    <sheet name="topea" sheetId="222" state="hidden" r:id="rId12"/>
    <sheet name="tocustomer" sheetId="221" state="hidden" r:id="rId13"/>
    <sheet name="profit_template" sheetId="4" state="hidden" r:id="rId14"/>
    <sheet name="DB ชื่อพนักงาน" sheetId="8" state="hidden" r:id="rId15"/>
    <sheet name="DB รายการสรุปค่าใช้จ่าย" sheetId="9" state="hidden" r:id="rId16"/>
    <sheet name="DB ค่าใช้จ่ายลูกค้าลงทุน" sheetId="10" state="hidden" r:id="rId17"/>
    <sheet name="DB ค่าใช้จ่ายกฟภลงทุน" sheetId="11" state="hidden" r:id="rId18"/>
    <sheet name="summary_expand" sheetId="76" state="hidden" r:id="rId19"/>
    <sheet name="Hotline" sheetId="3" r:id="rId20"/>
    <sheet name="tableexpend" sheetId="14" r:id="rId21"/>
    <sheet name="Who" sheetId="958" state="hidden" r:id="rId22"/>
    <sheet name="รายการชุดกราวด์" sheetId="828" state="hidden" r:id="rId23"/>
    <sheet name="ข้อมูลรายการชำระเงิน" sheetId="815" state="hidden" r:id="rId24"/>
    <sheet name="Turnkey" sheetId="823" state="hidden" r:id="rId25"/>
    <sheet name="summary_Template" sheetId="469" state="hidden" r:id="rId26"/>
    <sheet name="summary_report" sheetId="1025" r:id="rId27"/>
    <sheet name="summary_subtopic_table" sheetId="1026" r:id="rId28"/>
    <sheet name="profit" sheetId="1027" r:id="rId29"/>
  </sheets>
  <functionGroups builtInGroupCount="19"/>
  <definedNames>
    <definedName name="_tc_selected_word_path">"C:\Users\512977\OneDrive\ผบส\ประมาณการ\9.เวสตัน\เอกสาร มท.docx"</definedName>
    <definedName name="_tpl_selected_word_path">"C:\Users\512977\OneDrive\ผบส\ประมาณการ\10.เพชรรุ่งโรจน์\ไฟล์อนุมัติ\เอกสารอนุมัติ_ลูกค้าดำเนินการเอง.docx"</definedName>
    <definedName name="_xlnm.Print_Area" localSheetId="19">Hotline!$A$1:$F$34</definedName>
    <definedName name="_xlnm.Print_Area" localSheetId="28">profit!$A$1:$H$16</definedName>
    <definedName name="_xlnm.Print_Area" localSheetId="13">profit_template!$A$1:$H$13</definedName>
    <definedName name="_xlnm.Print_Area" localSheetId="26">summary_report!$A$1:$J$31</definedName>
    <definedName name="_xlnm.Print_Area" localSheetId="25">summary_Template!$A$1:$J$18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6" i="1027" l="1"/>
  <c r="G15" i="1027"/>
  <c r="G14" i="1027"/>
  <c r="B3" i="1027"/>
  <c r="D2" i="1027"/>
  <c r="A5" i="1025"/>
  <c r="B3" i="1025"/>
  <c r="E2" i="1025"/>
  <c r="B64" i="221" l="1"/>
  <c r="B52" i="221"/>
  <c r="B40" i="221"/>
  <c r="B53" i="221"/>
  <c r="B31" i="221"/>
  <c r="B30" i="221"/>
  <c r="B69" i="221"/>
  <c r="B57" i="221"/>
  <c r="B45" i="221"/>
  <c r="B65" i="221"/>
  <c r="B41" i="221"/>
  <c r="B22" i="221"/>
  <c r="B20" i="221" s="1"/>
  <c r="C86" i="221"/>
  <c r="A2" i="222"/>
  <c r="A46" i="222"/>
  <c r="A56" i="222"/>
  <c r="A66" i="222"/>
  <c r="B66" i="222"/>
  <c r="A67" i="221"/>
  <c r="A63" i="221"/>
  <c r="A55" i="221"/>
  <c r="A51" i="221"/>
  <c r="A76" i="222"/>
  <c r="B76" i="222"/>
  <c r="A16" i="221"/>
  <c r="A15" i="221"/>
  <c r="A12" i="221"/>
  <c r="A11" i="221"/>
  <c r="B29" i="222"/>
  <c r="A19" i="222"/>
  <c r="A23" i="222"/>
  <c r="A75" i="221"/>
  <c r="B75" i="221"/>
  <c r="A6" i="222"/>
  <c r="A5" i="222"/>
  <c r="A4" i="222"/>
  <c r="A3" i="222"/>
  <c r="A4" i="221"/>
  <c r="A3" i="221"/>
  <c r="A2" i="221"/>
  <c r="A11" i="222"/>
  <c r="A28" i="222"/>
  <c r="A36" i="222"/>
  <c r="A9" i="222"/>
  <c r="A39" i="221"/>
  <c r="A43" i="221"/>
  <c r="A23" i="221"/>
  <c r="A20" i="221"/>
  <c r="B39" i="221" l="1"/>
  <c r="B51" i="221"/>
  <c r="B63" i="221"/>
  <c r="B15" i="221"/>
  <c r="B11" i="221"/>
  <c r="B8" i="221"/>
  <c r="B3" i="222"/>
  <c r="B17" i="222"/>
  <c r="B48" i="222" s="1"/>
  <c r="B46" i="222" s="1"/>
  <c r="B9" i="222"/>
  <c r="B14" i="222"/>
  <c r="B13" i="222"/>
  <c r="B15" i="222"/>
  <c r="B19" i="222" l="1"/>
  <c r="B58" i="222"/>
  <c r="B56" i="222" s="1"/>
  <c r="B11" i="222"/>
  <c r="B28" i="222"/>
  <c r="B23" i="222"/>
  <c r="B38" i="222"/>
  <c r="B36" i="222" s="1"/>
  <c r="B3" i="221"/>
  <c r="B2" i="221"/>
  <c r="B85" i="222"/>
  <c r="B6" i="222"/>
  <c r="B5" i="222"/>
  <c r="B4" i="222"/>
  <c r="AB3" i="14" l="1"/>
  <c r="B1" i="221" l="1"/>
  <c r="B16" i="815" l="1"/>
  <c r="D12" i="826"/>
  <c r="E12" i="826" s="1"/>
  <c r="D11" i="826"/>
  <c r="E11" i="826" s="1"/>
  <c r="F10" i="827"/>
  <c r="D9" i="827"/>
  <c r="E9" i="827" s="1"/>
  <c r="D8" i="827"/>
  <c r="E8" i="827" s="1"/>
  <c r="D7" i="827"/>
  <c r="E7" i="827" s="1"/>
  <c r="D6" i="827"/>
  <c r="E6" i="827" s="1"/>
  <c r="D5" i="827"/>
  <c r="E5" i="827" s="1"/>
  <c r="D4" i="827"/>
  <c r="E4" i="827" s="1"/>
  <c r="C2" i="827"/>
  <c r="A2" i="827"/>
  <c r="F13" i="826"/>
  <c r="D9" i="826"/>
  <c r="E9" i="826" s="1"/>
  <c r="D8" i="826"/>
  <c r="E8" i="826" s="1"/>
  <c r="D7" i="826"/>
  <c r="E7" i="826" s="1"/>
  <c r="D6" i="826"/>
  <c r="E6" i="826" s="1"/>
  <c r="D5" i="826"/>
  <c r="E5" i="826" s="1"/>
  <c r="D4" i="826"/>
  <c r="E4" i="826" s="1"/>
  <c r="C2" i="826"/>
  <c r="A2" i="826"/>
  <c r="F11" i="825"/>
  <c r="D10" i="825"/>
  <c r="E10" i="825" s="1"/>
  <c r="D9" i="825"/>
  <c r="E9" i="825" s="1"/>
  <c r="D8" i="825"/>
  <c r="E8" i="825" s="1"/>
  <c r="D7" i="825"/>
  <c r="E7" i="825" s="1"/>
  <c r="D6" i="825"/>
  <c r="E6" i="825" s="1"/>
  <c r="D5" i="825"/>
  <c r="E5" i="825" s="1"/>
  <c r="D4" i="825"/>
  <c r="E4" i="825" s="1"/>
  <c r="C2" i="825"/>
  <c r="A2" i="825"/>
  <c r="F11" i="824"/>
  <c r="D10" i="824"/>
  <c r="E10" i="824" s="1"/>
  <c r="D9" i="824"/>
  <c r="E9" i="824" s="1"/>
  <c r="D8" i="824"/>
  <c r="E8" i="824" s="1"/>
  <c r="D7" i="824"/>
  <c r="E7" i="824" s="1"/>
  <c r="D6" i="824"/>
  <c r="E6" i="824" s="1"/>
  <c r="D5" i="824"/>
  <c r="E5" i="824" s="1"/>
  <c r="D4" i="824"/>
  <c r="E4" i="824" s="1"/>
  <c r="C2" i="824"/>
  <c r="A2" i="824"/>
  <c r="E11" i="824" l="1"/>
  <c r="E12" i="824" s="1"/>
  <c r="E13" i="826"/>
  <c r="E14" i="826" s="1"/>
  <c r="E13" i="824"/>
  <c r="E14" i="824" s="1"/>
  <c r="E11" i="825"/>
  <c r="E12" i="825" s="1"/>
  <c r="E10" i="827"/>
  <c r="E15" i="826" l="1"/>
  <c r="E16" i="826" s="1"/>
  <c r="E11" i="827"/>
  <c r="E12" i="827" s="1"/>
  <c r="E13" i="827" s="1"/>
  <c r="E13" i="825"/>
  <c r="E14" i="825" s="1"/>
  <c r="F10" i="823" l="1"/>
  <c r="D4" i="823"/>
  <c r="E4" i="823" s="1"/>
  <c r="C2" i="823"/>
  <c r="A2" i="823"/>
  <c r="E10" i="823" l="1"/>
  <c r="E11" i="823" s="1"/>
  <c r="E12" i="823" l="1"/>
  <c r="E13" i="823" s="1"/>
  <c r="C2" i="819"/>
  <c r="A2" i="819"/>
  <c r="C2" i="820"/>
  <c r="A2" i="820"/>
  <c r="C2" i="821"/>
  <c r="A2" i="821"/>
  <c r="C2" i="822"/>
  <c r="A2" i="822"/>
  <c r="F10" i="822"/>
  <c r="D9" i="822"/>
  <c r="E9" i="822" s="1"/>
  <c r="D8" i="822"/>
  <c r="E8" i="822" s="1"/>
  <c r="D7" i="822"/>
  <c r="E7" i="822" s="1"/>
  <c r="D6" i="822"/>
  <c r="E6" i="822" s="1"/>
  <c r="D5" i="822"/>
  <c r="E5" i="822" s="1"/>
  <c r="D4" i="822"/>
  <c r="E4" i="822" s="1"/>
  <c r="F10" i="821"/>
  <c r="D9" i="821"/>
  <c r="E9" i="821" s="1"/>
  <c r="D8" i="821"/>
  <c r="E8" i="821" s="1"/>
  <c r="D7" i="821"/>
  <c r="E7" i="821" s="1"/>
  <c r="D6" i="821"/>
  <c r="E6" i="821" s="1"/>
  <c r="D5" i="821"/>
  <c r="E5" i="821" s="1"/>
  <c r="D4" i="821"/>
  <c r="E4" i="821" s="1"/>
  <c r="F11" i="820"/>
  <c r="D10" i="820"/>
  <c r="E10" i="820" s="1"/>
  <c r="D9" i="820"/>
  <c r="E9" i="820" s="1"/>
  <c r="D8" i="820"/>
  <c r="E8" i="820" s="1"/>
  <c r="D7" i="820"/>
  <c r="E7" i="820" s="1"/>
  <c r="D6" i="820"/>
  <c r="E6" i="820" s="1"/>
  <c r="D5" i="820"/>
  <c r="E5" i="820" s="1"/>
  <c r="D4" i="820"/>
  <c r="E4" i="820" s="1"/>
  <c r="F11" i="819"/>
  <c r="D10" i="819"/>
  <c r="E10" i="819" s="1"/>
  <c r="D9" i="819"/>
  <c r="E9" i="819" s="1"/>
  <c r="D8" i="819"/>
  <c r="E8" i="819" s="1"/>
  <c r="D7" i="819"/>
  <c r="E7" i="819" s="1"/>
  <c r="D6" i="819"/>
  <c r="E6" i="819" s="1"/>
  <c r="D5" i="819"/>
  <c r="E5" i="819" s="1"/>
  <c r="D4" i="819"/>
  <c r="E4" i="819" s="1"/>
  <c r="E10" i="822" l="1"/>
  <c r="E11" i="822" s="1"/>
  <c r="E12" i="822" s="1"/>
  <c r="E13" i="822" s="1"/>
  <c r="E10" i="821"/>
  <c r="E11" i="821" s="1"/>
  <c r="E11" i="819"/>
  <c r="E12" i="819" s="1"/>
  <c r="E11" i="820"/>
  <c r="E12" i="820" s="1"/>
  <c r="H4" i="815" l="1" a="1"/>
  <c r="H3" i="815" a="1"/>
  <c r="H2" i="815" a="1"/>
  <c r="H1" i="815" a="1"/>
  <c r="H23" i="815" a="1"/>
  <c r="H23" i="815" s="1"/>
  <c r="H22" i="815" a="1"/>
  <c r="H22" i="815" s="1"/>
  <c r="H21" i="815" a="1"/>
  <c r="H21" i="815" s="1"/>
  <c r="H20" i="815" a="1"/>
  <c r="H20" i="815" s="1"/>
  <c r="E13" i="819"/>
  <c r="E14" i="819" s="1"/>
  <c r="E12" i="821"/>
  <c r="E13" i="821" s="1"/>
  <c r="E13" i="820"/>
  <c r="E14" i="820" s="1"/>
  <c r="H27" i="815" l="1"/>
  <c r="H34" i="815"/>
  <c r="H33" i="815"/>
  <c r="H32" i="815"/>
  <c r="H31" i="815"/>
  <c r="H15" i="815"/>
  <c r="H13" i="815"/>
  <c r="H30" i="815"/>
  <c r="H14" i="815"/>
  <c r="H29" i="815"/>
  <c r="C16" i="14" s="1"/>
  <c r="H28" i="815"/>
  <c r="H12" i="815"/>
  <c r="H11" i="815"/>
  <c r="H10" i="815"/>
  <c r="H9" i="815"/>
  <c r="H8" i="815"/>
  <c r="H1" i="815"/>
  <c r="H16" i="14" s="1"/>
  <c r="I1" i="815"/>
  <c r="H26" i="815"/>
  <c r="H7" i="815"/>
  <c r="I2" i="815"/>
  <c r="H2" i="815"/>
  <c r="H25" i="815"/>
  <c r="H24" i="815"/>
  <c r="H6" i="815"/>
  <c r="H5" i="815"/>
  <c r="I3" i="815"/>
  <c r="H3" i="815"/>
  <c r="I4" i="815"/>
  <c r="H4" i="815"/>
  <c r="M5" i="14"/>
  <c r="B15" i="815"/>
  <c r="B14" i="815"/>
  <c r="B13" i="815"/>
  <c r="B12" i="815"/>
  <c r="B11" i="815"/>
  <c r="B10" i="815"/>
  <c r="B9" i="815"/>
  <c r="B8" i="815"/>
  <c r="B7" i="815"/>
  <c r="B6" i="815"/>
  <c r="B5" i="815"/>
  <c r="B4" i="815"/>
  <c r="B3" i="815"/>
  <c r="B2" i="815"/>
  <c r="B1" i="815"/>
  <c r="M3" i="14" s="1"/>
  <c r="Q3" i="14" l="1"/>
  <c r="H5" i="782"/>
  <c r="H3" i="782"/>
  <c r="H4" i="782"/>
  <c r="B28" i="221" l="1"/>
  <c r="B27" i="221"/>
  <c r="B70" i="221"/>
  <c r="B58" i="221"/>
  <c r="B46" i="221"/>
  <c r="C6" i="221"/>
  <c r="D3" i="782"/>
  <c r="D4" i="782"/>
  <c r="D12" i="782"/>
  <c r="B43" i="221" l="1"/>
  <c r="B67" i="221"/>
  <c r="B55" i="221"/>
  <c r="D13" i="782"/>
  <c r="E2" i="469"/>
  <c r="A5" i="469"/>
  <c r="D14" i="782" l="1"/>
  <c r="G14" i="782" s="1"/>
  <c r="G15" i="782" s="1"/>
  <c r="D5" i="782"/>
  <c r="E15" i="782" l="1"/>
  <c r="D6" i="782"/>
  <c r="B3" i="469"/>
  <c r="B3" i="4"/>
  <c r="B3" i="3"/>
  <c r="D7" i="782" l="1"/>
  <c r="E8" i="782" l="1"/>
  <c r="G7" i="782"/>
  <c r="I6" i="469"/>
  <c r="I7" i="469" s="1"/>
  <c r="I8" i="469" s="1"/>
  <c r="G8" i="782" l="1"/>
  <c r="B34" i="221" s="1"/>
  <c r="B33" i="221"/>
  <c r="F8" i="4"/>
  <c r="F9" i="4" s="1"/>
  <c r="B32" i="221" l="1"/>
  <c r="D9" i="5"/>
  <c r="D10" i="5"/>
  <c r="D8" i="5"/>
  <c r="H9" i="5"/>
  <c r="H10" i="5"/>
  <c r="H8" i="5"/>
  <c r="H23" i="1025" l="1"/>
  <c r="H24" i="1025"/>
  <c r="H25" i="1025"/>
  <c r="B12" i="221"/>
  <c r="B23" i="221"/>
  <c r="B16" i="221"/>
  <c r="C22" i="826"/>
  <c r="C20" i="824"/>
  <c r="C20" i="825"/>
  <c r="C19" i="827"/>
  <c r="C19" i="823"/>
  <c r="C19" i="824"/>
  <c r="C21" i="826"/>
  <c r="C18" i="827"/>
  <c r="C19" i="825"/>
  <c r="C18" i="823"/>
  <c r="C18" i="824"/>
  <c r="C20" i="826"/>
  <c r="C18" i="825"/>
  <c r="C17" i="827"/>
  <c r="C17" i="823"/>
  <c r="C20" i="820"/>
  <c r="C19" i="821"/>
  <c r="C20" i="819"/>
  <c r="C19" i="822"/>
  <c r="C19" i="819"/>
  <c r="C19" i="820"/>
  <c r="C18" i="821"/>
  <c r="C18" i="822"/>
  <c r="C18" i="820"/>
  <c r="C18" i="819"/>
  <c r="C17" i="822"/>
  <c r="C17" i="821"/>
  <c r="H11" i="469"/>
  <c r="E33" i="3"/>
  <c r="H12" i="469"/>
  <c r="E34" i="3"/>
  <c r="E32" i="3"/>
  <c r="H10" i="469"/>
  <c r="G12" i="4"/>
  <c r="G11" i="4"/>
  <c r="G13" i="4"/>
  <c r="D2" i="4"/>
  <c r="D8" i="4"/>
  <c r="H9" i="4" l="1"/>
  <c r="H8" i="4" l="1"/>
  <c r="F28" i="3" l="1"/>
  <c r="F26" i="3"/>
  <c r="F24" i="3"/>
  <c r="F23" i="3"/>
  <c r="F21" i="3"/>
  <c r="F20" i="3"/>
  <c r="F16" i="3"/>
  <c r="F15" i="3"/>
  <c r="F14" i="3"/>
  <c r="F13" i="3"/>
  <c r="F11" i="3"/>
  <c r="F9" i="3"/>
  <c r="F17" i="3" l="1"/>
  <c r="F18" i="3" s="1"/>
  <c r="F29" i="3" l="1"/>
  <c r="F30" i="3" s="1"/>
  <c r="M8" i="14" s="1"/>
</calcChain>
</file>

<file path=xl/sharedStrings.xml><?xml version="1.0" encoding="utf-8"?>
<sst xmlns="http://schemas.openxmlformats.org/spreadsheetml/2006/main" count="852" uniqueCount="410">
  <si>
    <t>บาท</t>
  </si>
  <si>
    <t>รายละเอียด</t>
  </si>
  <si>
    <t>ที่</t>
  </si>
  <si>
    <t>เลขที่</t>
  </si>
  <si>
    <t>ผู้ตรวจสอบ</t>
  </si>
  <si>
    <t>ผู้ประมาณการ</t>
  </si>
  <si>
    <t xml:space="preserve">ผู้สำรวจ  </t>
  </si>
  <si>
    <t xml:space="preserve">รวมเงินค่าใช้จ่ายคิดจากผู้ใช้ไฟ </t>
  </si>
  <si>
    <t>ภาษีมูลค่าเพิ่ม 7 %</t>
  </si>
  <si>
    <t>รวมเงิน</t>
  </si>
  <si>
    <t>ค่าใช้จ่ายที่ คิดจากผู้ใช้ไฟ</t>
  </si>
  <si>
    <t>ค่าใช้จ่ายที่ กฟภ.ลงทุน</t>
  </si>
  <si>
    <t>ภาคใต้</t>
  </si>
  <si>
    <t>เขต 3</t>
  </si>
  <si>
    <t xml:space="preserve">งานที่  </t>
  </si>
  <si>
    <t>สรุปค่าใช้จ่ายในการประมาณการก่อสร้างระบบจำหน่าย</t>
  </si>
  <si>
    <t>เป็นเงิน</t>
  </si>
  <si>
    <t>(บาท)</t>
  </si>
  <si>
    <t xml:space="preserve"> ค่าแรงพนักงานฮอทไลน์                      </t>
  </si>
  <si>
    <t>จำนวนวัน</t>
  </si>
  <si>
    <t>วันละ (บาท)</t>
  </si>
  <si>
    <t>กรณีปฏิบัติงานวันปกติ</t>
  </si>
  <si>
    <t>กรณีปฏิบัติงานในวันหยุดประจำสัปดาห์หรือวันหยุดตามประกาศ กฟภ.</t>
  </si>
  <si>
    <t xml:space="preserve"> ค่าเครื่องมือและยานพาหนะ</t>
  </si>
  <si>
    <t xml:space="preserve"> ค่าเบ็ดเตล็ด  คิด 5% ของ ( 1+2 )</t>
  </si>
  <si>
    <t xml:space="preserve"> ค่าใช้จ่ายในการดำเนินการ  คิด 7.5% ( 1+2+3 )</t>
  </si>
  <si>
    <t xml:space="preserve"> ค่าใช้จ่ายในการปฏิบัติงานของพนักงาน</t>
  </si>
  <si>
    <t xml:space="preserve"> ค่าใช้จ่ายของรถยนต์ที่ใช้ปฏิบัติงาน</t>
  </si>
  <si>
    <t xml:space="preserve">         ( ระยะทาง x ราคาน้ำมัน x 2 )</t>
  </si>
  <si>
    <t xml:space="preserve">   </t>
  </si>
  <si>
    <t xml:space="preserve">         ( ระยะทาง x ราคาน้ำมัน x 2.2 )</t>
  </si>
  <si>
    <t>กำรขั้นต้น คิด 30% ของ (1+2+3+4+5+6)</t>
  </si>
  <si>
    <t xml:space="preserve">      *รวมค่าใช้จ่ายทั้งสิ้น (1+2+3+4+5+6+7)</t>
  </si>
  <si>
    <t>* หมายเหตุ ไม่รวมภาษีมูลค่าเพิ่ม</t>
  </si>
  <si>
    <t>ชื่องาน</t>
  </si>
  <si>
    <t>*** รายละเอียดแสดงการคิดกำไรขั้นต้น (คิดเฉพาะงานที่ก่อสร้างแล้วเสร็จทรัพย์สินเป็นของผู้ใช้ไฟ) ***</t>
  </si>
  <si>
    <t>แผนกงาน</t>
  </si>
  <si>
    <t>ต้นทุน</t>
  </si>
  <si>
    <t>%กำไรขั้นต้น</t>
  </si>
  <si>
    <t>กำไรขั้นต้น</t>
  </si>
  <si>
    <t>หมายเหตุ</t>
  </si>
  <si>
    <t>รวม</t>
  </si>
  <si>
    <t>(%)</t>
  </si>
  <si>
    <t>(ค่าวัสดุอุปกรณ์)</t>
  </si>
  <si>
    <t xml:space="preserve">การออกหนังสือ อนุมัติพร้อม มท </t>
  </si>
  <si>
    <t xml:space="preserve">ชื่องาน </t>
  </si>
  <si>
    <t xml:space="preserve">เลขที่แบบ </t>
  </si>
  <si>
    <t>ที่อยู่</t>
  </si>
  <si>
    <t>ซอย</t>
  </si>
  <si>
    <t>ถนน</t>
  </si>
  <si>
    <t>ตำบล</t>
  </si>
  <si>
    <t>อำเภอ</t>
  </si>
  <si>
    <t>จังหวัด</t>
  </si>
  <si>
    <t>เลขไปรษณีย์</t>
  </si>
  <si>
    <t>ผู้สำรวจ</t>
  </si>
  <si>
    <t>นามสกุล</t>
  </si>
  <si>
    <t>เลขประจำตัว</t>
  </si>
  <si>
    <t>ชื่อ</t>
  </si>
  <si>
    <t>เลขที่แบบ</t>
  </si>
  <si>
    <t>เลข WBS</t>
  </si>
  <si>
    <t>TF09-0A3/69</t>
  </si>
  <si>
    <t>แก้วมูณี</t>
  </si>
  <si>
    <t>ค่าปลดสับแรงสูง</t>
  </si>
  <si>
    <t>ค่าบริการด้านฮอตไลน์</t>
  </si>
  <si>
    <t>หผ.</t>
  </si>
  <si>
    <t>08-8835-8708</t>
  </si>
  <si>
    <t>ชผ.</t>
  </si>
  <si>
    <t>08-5336-7904</t>
  </si>
  <si>
    <t>นบช.6</t>
  </si>
  <si>
    <t>08-2827-6575</t>
  </si>
  <si>
    <t>วศก.5</t>
  </si>
  <si>
    <t>08-1963-5567</t>
  </si>
  <si>
    <t>พชง.5</t>
  </si>
  <si>
    <t>08-6746-0400</t>
  </si>
  <si>
    <t>08-1959-4868</t>
  </si>
  <si>
    <t>08-7633-4531</t>
  </si>
  <si>
    <t>พชง.7</t>
  </si>
  <si>
    <t>08-0539-9111</t>
  </si>
  <si>
    <t>พชง.3</t>
  </si>
  <si>
    <t>09-1719-6956</t>
  </si>
  <si>
    <t>พชง.4</t>
  </si>
  <si>
    <t>09-3774-8227</t>
  </si>
  <si>
    <t>ตำแหน่ง</t>
  </si>
  <si>
    <t>เบอร์โทร</t>
  </si>
  <si>
    <t>สกุล</t>
  </si>
  <si>
    <t>นาย</t>
  </si>
  <si>
    <t>สรายุทธ</t>
  </si>
  <si>
    <t>จุลจินดา</t>
  </si>
  <si>
    <t>ณรงค์กร</t>
  </si>
  <si>
    <t>ตปนียะพงศ์</t>
  </si>
  <si>
    <t>นางสาว</t>
  </si>
  <si>
    <t>เมธาวี</t>
  </si>
  <si>
    <t>มิลำเอียง</t>
  </si>
  <si>
    <t>อภินัทธ์</t>
  </si>
  <si>
    <t>ยุทธนา</t>
  </si>
  <si>
    <t>สาแหละ</t>
  </si>
  <si>
    <t>ภูชิต</t>
  </si>
  <si>
    <t>คทาวุธพูนพันธ์</t>
  </si>
  <si>
    <t>วุฒิพนธ์</t>
  </si>
  <si>
    <t>เหมือนพะวงศ์</t>
  </si>
  <si>
    <t>ธีรพงศ์</t>
  </si>
  <si>
    <t>นาพนัง</t>
  </si>
  <si>
    <t>วีระชัย</t>
  </si>
  <si>
    <t>ศิริมงคล</t>
  </si>
  <si>
    <t>อรุณสวัสดิ์</t>
  </si>
  <si>
    <t>ส้องสง</t>
  </si>
  <si>
    <t>คำนำหน้า</t>
  </si>
  <si>
    <t xml:space="preserve">        ค่าแรงพนักงานฮอทไลน์</t>
  </si>
  <si>
    <t xml:space="preserve">        ฮอทสติก</t>
  </si>
  <si>
    <t xml:space="preserve">        กระเช้า ระบบ 22-23 KV</t>
  </si>
  <si>
    <t xml:space="preserve">        กระเช้า ระบบ 115  KV</t>
  </si>
  <si>
    <t xml:space="preserve">        รถบรรทุกน้ำ</t>
  </si>
  <si>
    <t xml:space="preserve">       ค่าเบี้ยเลี้ยง</t>
  </si>
  <si>
    <t xml:space="preserve">       ค่าที่พัก</t>
  </si>
  <si>
    <t xml:space="preserve">       ฮอทสติก  ( ระยะทาง x ราคาน้ำมัน x 1 )</t>
  </si>
  <si>
    <t xml:space="preserve">       กระเช้า ระบบ 22 - 33 / 115 KV</t>
  </si>
  <si>
    <t xml:space="preserve">       กระเช้า ระบบ 22 -33 / 115 KV พร้อมรถพ่วงฉีดน้ำ</t>
  </si>
  <si>
    <t xml:space="preserve">       รถบรรทุกน้ำ ( ระยะทาง x ราคาน้ำมัน x 1 )</t>
  </si>
  <si>
    <t>ค่าธรรมเนียม</t>
  </si>
  <si>
    <t>แผนกแรงต่ำภายใน</t>
  </si>
  <si>
    <t>แผนกแรงสูงภายใน</t>
  </si>
  <si>
    <t>แผนกรื้อถอนภายใน</t>
  </si>
  <si>
    <t>แผนกหม้อแปลง</t>
  </si>
  <si>
    <t>แผนกแรงต่ำภายนอก</t>
  </si>
  <si>
    <t>แผนกแรงสูงภายนอก</t>
  </si>
  <si>
    <t>แผนกรื้อถอนภายนอก</t>
  </si>
  <si>
    <t>1.</t>
  </si>
  <si>
    <t>2.</t>
  </si>
  <si>
    <t xml:space="preserve"> ค่าธรรมเนียม  </t>
  </si>
  <si>
    <t>สรุปค่าใช้จ่าย</t>
  </si>
  <si>
    <t>ระยะทาง (กม.)ไป-กลับ ราคาน้ำมันลิตรละ</t>
  </si>
  <si>
    <t>ชื่อ Sheet</t>
  </si>
  <si>
    <t>จำนวนหน้า</t>
  </si>
  <si>
    <t>คิดค่าใช้จ่าย</t>
  </si>
  <si>
    <t>เลือก</t>
  </si>
  <si>
    <t>ตารางที่ 1</t>
  </si>
  <si>
    <t>ตารางที 2</t>
  </si>
  <si>
    <t>ตารางที่ 3</t>
  </si>
  <si>
    <t>3.</t>
  </si>
  <si>
    <t>4.</t>
  </si>
  <si>
    <t>5.</t>
  </si>
  <si>
    <t xml:space="preserve"> </t>
  </si>
  <si>
    <t>รวมเงินค่าใช้จ่ายจากผู้ใช้ไฟ</t>
  </si>
  <si>
    <t>รวมเงินค่าใช้จ่ายคิดจากผู้ใช้ไฟรวมภาษีมูลค่าเพิ่ม</t>
  </si>
  <si>
    <t>หักค่าใช้จ่าย</t>
  </si>
  <si>
    <t>ไม่คิดค่าใช้จ่าย</t>
  </si>
  <si>
    <t>ตารางที่ 4 หักค่าใช้จ่าย</t>
  </si>
  <si>
    <t>การคิดประมาณการค่าใช้จ่ายการให้บริการด้านฮอทไลน์สำหรับ  ผู้ใช้ไฟที่เป็นลูกค้า</t>
  </si>
  <si>
    <t>ของ กฟภ. หน่วยฮอทไลน์  สังกัด  กฟส.หาดใหญ่</t>
  </si>
  <si>
    <t>เลขที่คำร้อง</t>
  </si>
  <si>
    <t>Date</t>
  </si>
  <si>
    <t>ลงวันที่</t>
  </si>
  <si>
    <t>Data6</t>
  </si>
  <si>
    <t>ชื่อไฟล์ (pdf)</t>
  </si>
  <si>
    <t>summary_report</t>
  </si>
  <si>
    <t>Hotline</t>
  </si>
  <si>
    <t>profit</t>
  </si>
  <si>
    <t>Table1</t>
  </si>
  <si>
    <t>*1 คือหักค่าใช้จ่ายแต่ไม่ได้นำมาหัก</t>
  </si>
  <si>
    <t>*2 คือหักค่าใช้จ่ายนำมาหักจริง</t>
  </si>
  <si>
    <t>*3 คือหักค่าใช้จ่ายก่อนคิด ภาษีมูลค่าเพิ่ม</t>
  </si>
  <si>
    <t>*มท คือค่าใช้จ่ายแสดงในมท แต่ไม่แสดงใน สรุปค่าใช้จ่าย</t>
  </si>
  <si>
    <t xml:space="preserve">ค่าประกันการใช้ไฟ </t>
  </si>
  <si>
    <t>แผนกรื้อถอนแรงสูงภายนอก(คิด 50 %)</t>
  </si>
  <si>
    <t>หมู่</t>
  </si>
  <si>
    <t xml:space="preserve">    รวมค่าใช้จ่าย ข้อ 2.1-2.2</t>
  </si>
  <si>
    <t xml:space="preserve">    ภาษีมูลค่าเพิ่ม</t>
  </si>
  <si>
    <t xml:space="preserve">    รวมค่าใช้จ่ายทั้งสิ้น   </t>
  </si>
  <si>
    <t xml:space="preserve">2.1 ค่าใช้จ่ายในการดำเนินการ ตามข้อ 1.1-1.7           </t>
  </si>
  <si>
    <t xml:space="preserve">2.2 ค่าสมทบการก่อสร้าง เควีเอ ละ 100 บาท </t>
  </si>
  <si>
    <t>s</t>
  </si>
  <si>
    <r>
      <rPr>
        <b/>
        <u/>
        <sz val="14"/>
        <rFont val="TH SarabunPSK"/>
        <family val="2"/>
      </rPr>
      <t>หมายเหตุ</t>
    </r>
    <r>
      <rPr>
        <sz val="14"/>
        <rFont val="TH SarabunPSK"/>
        <family val="2"/>
      </rPr>
      <t xml:space="preserve"> ยังไม่รวมค่าธรรมเนียมต่าง ๆ ขอให้คิดค่าธรรมเนียมตามระเบียบของ กฟภ.ที่กำหนด นอกโปรแกรมประมาณการ ฯ</t>
    </r>
  </si>
  <si>
    <t>C-69-L-HAYSR.</t>
  </si>
  <si>
    <t>*มท7 คือค่าใช้จ่ายแสดงในมท แบบภาษี 7 เปอร์</t>
  </si>
  <si>
    <t xml:space="preserve"> ค่าตรวจสอบอุปกรณ์ไฟฟ้าภายใน (กรณีซีทีเกิน 30/5)</t>
  </si>
  <si>
    <t>ค่าสมทบก่อสร้าง</t>
  </si>
  <si>
    <t>ตารางกรณีมีค่าสมทบ เควีเอ</t>
  </si>
  <si>
    <t xml:space="preserve">บาท </t>
  </si>
  <si>
    <t>เงินรวมภาษี</t>
  </si>
  <si>
    <t>เงินรวมไม่คิดภาษี(รวมค่าสมทบ)</t>
  </si>
  <si>
    <t>ตารางกรณีไม่มีค่าสมทบ เควีเอ</t>
  </si>
  <si>
    <t>ตารางข้อมูล</t>
  </si>
  <si>
    <t>Info</t>
  </si>
  <si>
    <t>module1</t>
  </si>
  <si>
    <t>หนังสือค่าใช้จ่าย</t>
  </si>
  <si>
    <t>module2</t>
  </si>
  <si>
    <t>module3</t>
  </si>
  <si>
    <t>เอกสารอนุมัติ</t>
  </si>
  <si>
    <t>module4</t>
  </si>
  <si>
    <t>เอกสารมท</t>
  </si>
  <si>
    <t>module5</t>
  </si>
  <si>
    <t>ExportPDF</t>
  </si>
  <si>
    <t>สร้างปุ่มกดสำหรับซ่อนไฟล์</t>
  </si>
  <si>
    <t>module6(ไม่ได้ใช้)</t>
  </si>
  <si>
    <t>เรียกชื่อไฟล์ อนุมัติ</t>
  </si>
  <si>
    <t>module7</t>
  </si>
  <si>
    <t>กำไรขั้นตีu</t>
  </si>
  <si>
    <t>Date1</t>
  </si>
  <si>
    <t xml:space="preserve">ค่าสมทบแรงสูง  (30 ควีเอx100) </t>
  </si>
  <si>
    <t>สงขลา</t>
  </si>
  <si>
    <t>Column1</t>
  </si>
  <si>
    <t>Column2</t>
  </si>
  <si>
    <t>Column3</t>
  </si>
  <si>
    <t>Column4</t>
  </si>
  <si>
    <t xml:space="preserve">ค่าสมทบแรงสูง  (50 ควีเอx100) </t>
  </si>
  <si>
    <t xml:space="preserve">ค่าสมทบแรงสูง  (100 ควีเอx100) </t>
  </si>
  <si>
    <t xml:space="preserve">ค่าสมทบแรงสูง  (160 ควีเอx100) </t>
  </si>
  <si>
    <t xml:space="preserve">ค่าสมทบแรงสูง  (250 ควีเอx100) </t>
  </si>
  <si>
    <t xml:space="preserve">ค่าสมทบแรงสูง  (315 ควีเอx100) </t>
  </si>
  <si>
    <t xml:space="preserve">ค่าสมทบแรงสูง  (400 ควีเอx100) </t>
  </si>
  <si>
    <t xml:space="preserve">ค่าสมทบแรงสูง  (500 ควีเอx100) </t>
  </si>
  <si>
    <t xml:space="preserve">ค่าสมทบแรงสูง  (630 ควีเอx100) </t>
  </si>
  <si>
    <t xml:space="preserve">ค่าสมทบแรงสูง  (800 ควีเอx100) </t>
  </si>
  <si>
    <t xml:space="preserve">ค่าสมทบแรงสูง  (1,000 ควีเอx100) </t>
  </si>
  <si>
    <t xml:space="preserve">ค่าสมทบแรงสูง  (1,250 ควีเอx100) </t>
  </si>
  <si>
    <t xml:space="preserve">ค่าสมทบแรงสูง  (1,500 ควีเอx100) </t>
  </si>
  <si>
    <t xml:space="preserve">ค่าสมทบแรงสูง  (1,800 ควีเอx100) </t>
  </si>
  <si>
    <t xml:space="preserve">ค่าสมทบแรงสูง  (2,000 ควีเอx100) </t>
  </si>
  <si>
    <t>ค่าตรวจสอบหม้อแปลงขนาดไม่เกิน 500 เควีเอ</t>
  </si>
  <si>
    <t>ค่าตรวจสอบหม้อแปลงขนาดไม่เกิน 1,000 เควีเอ</t>
  </si>
  <si>
    <t>ค่าตรวจสอบหม้อแปลงขนาดไม่เกิน 1,500 เควีเอ</t>
  </si>
  <si>
    <t>ค่าตรวจสอบหม้อแปลงขนาดไม่เกิน 2,000 เควีเอ</t>
  </si>
  <si>
    <t>ค่าตรวจสอบหม้อแปลงขนาดไม่เกิน 4,000 เควีเอ</t>
  </si>
  <si>
    <t>ค่าตรวจสอบหม้อแปลงขนาดไม่เกิน 5,000 เควีเอ</t>
  </si>
  <si>
    <t>ค่าตรวจสอบหม้อแปลงขนาดไม่เกิน 10,000 เควีเอ</t>
  </si>
  <si>
    <t xml:space="preserve">หม้อแปลง 30-160 kVA (สายทองแดง 35 ตร.มม.) </t>
  </si>
  <si>
    <t>รายการ</t>
  </si>
  <si>
    <t>จำนวน</t>
  </si>
  <si>
    <t>หน่วยละ</t>
  </si>
  <si>
    <t>ราคา กฟภ.</t>
  </si>
  <si>
    <t>ค่าแรง</t>
  </si>
  <si>
    <r>
      <t xml:space="preserve">กราวด์ร็อดหุ้มทองแดง 5/8 x 2.4 ม.   </t>
    </r>
    <r>
      <rPr>
        <sz val="18"/>
        <color rgb="FFFF0000"/>
        <rFont val="TH SarabunPSK"/>
        <family val="2"/>
      </rPr>
      <t>1010220002</t>
    </r>
  </si>
  <si>
    <r>
      <t xml:space="preserve">สายทองแดงหุ้มฉนวน (THW) ขนาด 35 ตร.มม.  </t>
    </r>
    <r>
      <rPr>
        <sz val="18"/>
        <color rgb="FFFF0000"/>
        <rFont val="TH SarabunPSK"/>
        <family val="2"/>
      </rPr>
      <t>1020080609</t>
    </r>
  </si>
  <si>
    <r>
      <t xml:space="preserve">หางปลาสำหรับเข้าปลายสายทองแดง ขนาด 35 ตร.มม.   </t>
    </r>
    <r>
      <rPr>
        <sz val="18"/>
        <color rgb="FFFF0000"/>
        <rFont val="TH SarabunPSK"/>
        <family val="2"/>
      </rPr>
      <t>1020420101</t>
    </r>
  </si>
  <si>
    <r>
      <t xml:space="preserve">ท่อเหลือง PVC ขนาด 3/4"     </t>
    </r>
    <r>
      <rPr>
        <sz val="18"/>
        <color rgb="FFFF0000"/>
        <rFont val="TH SarabunPSK"/>
        <family val="2"/>
      </rPr>
      <t>1080040001</t>
    </r>
  </si>
  <si>
    <t>ข้อโค้งท่อเหลือง ขนาด 3/4"</t>
  </si>
  <si>
    <r>
      <t xml:space="preserve">One Time Mould ชนิด 1 ทาง สำหรับสาย ขนาด 35 ตร.มม.  </t>
    </r>
    <r>
      <rPr>
        <sz val="18"/>
        <color rgb="FFFF0000"/>
        <rFont val="TH SarabunPSK"/>
        <family val="2"/>
      </rPr>
      <t>9090011007</t>
    </r>
  </si>
  <si>
    <t>รวมค่าพัสดุ+ค่าแรง</t>
  </si>
  <si>
    <t>ค่าดำเนินการ 7.5%</t>
  </si>
  <si>
    <t>รวมทั้งสิ้น</t>
  </si>
  <si>
    <t>***หมายเหตุ***</t>
  </si>
  <si>
    <t>สืบราคาจาก ห้างหุ้นส่วนจำกัด ศูนย์รวมไฟฟ้า 336/1 ถ.ศรีภูวนารถ อ.หาดใหญ่ จ.สงขลา 90110</t>
  </si>
  <si>
    <t>ตามใบเสนอราคา เลขที่ QT-000004578</t>
  </si>
  <si>
    <t xml:space="preserve">หม้อแปลง &gt;500 kVA (สายทองแดง 95 ตร.มม.) </t>
  </si>
  <si>
    <r>
      <t xml:space="preserve">กราวด์ร็อดหุ้มทองแดง 5/8 x 2.4 ม.    </t>
    </r>
    <r>
      <rPr>
        <sz val="18"/>
        <color rgb="FFFF0000"/>
        <rFont val="TH SarabunPSK"/>
        <family val="2"/>
      </rPr>
      <t>1010220002</t>
    </r>
  </si>
  <si>
    <r>
      <t xml:space="preserve">สายทองแดงหุ้มฉนวน (THW) ขนาด 95 ตร.มม.    </t>
    </r>
    <r>
      <rPr>
        <sz val="18"/>
        <color rgb="FFFF0000"/>
        <rFont val="TH SarabunPSK"/>
        <family val="2"/>
      </rPr>
      <t>1020080612</t>
    </r>
  </si>
  <si>
    <r>
      <t xml:space="preserve">หางปลาสำหรับเข้าปลายสายทองแดง ขนาด 95 ตร.มม.   </t>
    </r>
    <r>
      <rPr>
        <sz val="18"/>
        <color rgb="FFFF0000"/>
        <rFont val="TH SarabunPSK"/>
        <family val="2"/>
      </rPr>
      <t>1020420104</t>
    </r>
  </si>
  <si>
    <r>
      <t xml:space="preserve">ท่อเหลือง PVC ขนาด 3/4"    </t>
    </r>
    <r>
      <rPr>
        <sz val="18"/>
        <color rgb="FFFF0000"/>
        <rFont val="TH SarabunPSK"/>
        <family val="2"/>
      </rPr>
      <t>1080040001</t>
    </r>
  </si>
  <si>
    <t xml:space="preserve">ข้อโค้งท่อเหลือง ขนาด 3/4"   </t>
  </si>
  <si>
    <t>ข้อต่อตรงท่อเหลือง ขนาด 3/4"</t>
  </si>
  <si>
    <r>
      <t xml:space="preserve">One Time Mould ชนิด 1 ทาง สำหรับสาย ขนาด 70-120 ตร.มม.  </t>
    </r>
    <r>
      <rPr>
        <sz val="18"/>
        <color rgb="FFFF0000"/>
        <rFont val="TH SarabunPSK"/>
        <family val="2"/>
      </rPr>
      <t>9090011007</t>
    </r>
  </si>
  <si>
    <t xml:space="preserve">หม้อแปลง 400 kVA (สายทองแดง 70 ตร.มม.) </t>
  </si>
  <si>
    <r>
      <t xml:space="preserve">กราวด์ร็อดหุ้มทองแดง 5/8 x 2.4 ม.  </t>
    </r>
    <r>
      <rPr>
        <sz val="18"/>
        <color rgb="FFFF0000"/>
        <rFont val="TH SarabunPSK"/>
        <family val="2"/>
      </rPr>
      <t xml:space="preserve"> 1010220002</t>
    </r>
  </si>
  <si>
    <r>
      <t xml:space="preserve">สายทองแดงหุ้มฉนวน (THW) ขนาด 70 ตร.มม.   </t>
    </r>
    <r>
      <rPr>
        <sz val="18"/>
        <color rgb="FFFF0000"/>
        <rFont val="TH SarabunPSK"/>
        <family val="2"/>
      </rPr>
      <t>1020080611</t>
    </r>
  </si>
  <si>
    <r>
      <t xml:space="preserve">หางปลาสำหรับเข้าปลายสายทองแดง ขนาด 70 ตร.มม.  </t>
    </r>
    <r>
      <rPr>
        <sz val="18"/>
        <color rgb="FFFF0000"/>
        <rFont val="TH SarabunPSK"/>
        <family val="2"/>
      </rPr>
      <t>1020420103</t>
    </r>
  </si>
  <si>
    <r>
      <t xml:space="preserve">ท่อเหลือง PVC ขนาด 3/4"   </t>
    </r>
    <r>
      <rPr>
        <sz val="18"/>
        <color rgb="FFFF0000"/>
        <rFont val="TH SarabunPSK"/>
        <family val="2"/>
      </rPr>
      <t>1080040001</t>
    </r>
  </si>
  <si>
    <r>
      <t xml:space="preserve">One Time Mould ชนิด 1 ทาง สำหรับสาย ขนาด 70-120 ตร.มม. </t>
    </r>
    <r>
      <rPr>
        <sz val="18"/>
        <color rgb="FFFF0000"/>
        <rFont val="TH SarabunPSK"/>
        <family val="2"/>
      </rPr>
      <t>9090011007</t>
    </r>
  </si>
  <si>
    <t>ตามใบเสนอราคา เลขที่ QT-000004580</t>
  </si>
  <si>
    <t xml:space="preserve">หม้อแปลง 250-315 kVA (สายทองแดง 50 ตร.มม.) </t>
  </si>
  <si>
    <r>
      <t xml:space="preserve">กราวด์ร็อดหุ้มทองแดง 5/8 x 2.4 ม.  </t>
    </r>
    <r>
      <rPr>
        <sz val="18"/>
        <color rgb="FFFF0000"/>
        <rFont val="TH SarabunPSK"/>
        <family val="2"/>
      </rPr>
      <t>1010220002</t>
    </r>
  </si>
  <si>
    <r>
      <t xml:space="preserve">สายทองแดงหุ้มฉนวน (THW) ขนาด 50 ตร.มม. </t>
    </r>
    <r>
      <rPr>
        <sz val="18"/>
        <color rgb="FFFF0000"/>
        <rFont val="TH SarabunPSK"/>
        <family val="2"/>
      </rPr>
      <t>1020080610</t>
    </r>
  </si>
  <si>
    <r>
      <t xml:space="preserve">หางปลาสำหรับเข้าปลายสายทองแดง ขนาด 50 ตร.มม.    </t>
    </r>
    <r>
      <rPr>
        <sz val="18"/>
        <color rgb="FFFF0000"/>
        <rFont val="TH SarabunPSK"/>
        <family val="2"/>
      </rPr>
      <t>1020420102</t>
    </r>
  </si>
  <si>
    <t>One Time Mould ชนิด 1 ทาง สำหรับสาย ขนาด 50 ตร.มม.  9090011007</t>
  </si>
  <si>
    <t>ตามใบเสนอราคา เลขที่ QT-000004579</t>
  </si>
  <si>
    <t>แผนกหม้อแปลงภายในขนาด 30 kVA(ชุดกราวด์แรงต่ำทองแดง)</t>
  </si>
  <si>
    <t>แผนกหม้อแปลงภายในขนาด 50 kVA(ชุดกราวด์แรงต่ำทองแดง)</t>
  </si>
  <si>
    <t>แผนกหม้อแปลงภายในขนาด 100 kVA(ชุดกราวด์แรงต่ำทองแดง)</t>
  </si>
  <si>
    <t>แผนกหม้อแปลงภายในขนาด 160 kVA(ชุดกราวด์แรงต่ำทองแดง)</t>
  </si>
  <si>
    <t>แผนกหม้อแปลงภายในขนาด 250 kVA(ชุดกราวด์แรงต่ำทองแดง)</t>
  </si>
  <si>
    <t>แผนกหม้อแปลงภายในขนาด 315 kVA(ชุดกราวด์แรงต่ำทองแดง)</t>
  </si>
  <si>
    <t>แผนกหม้อแปลงภายในขนาด 400 kVA(ชุดกราวด์แรงต่ำทองแดง)</t>
  </si>
  <si>
    <t>แผนกหม้อแปลงภายในขนาด 500 kVA(ชุดกราวด์แรงต่ำทองแดง)</t>
  </si>
  <si>
    <t>แผนกหม้อแปลงภายในขนาด 630 kVA(ชุดกราวด์แรงต่ำทองแดง)</t>
  </si>
  <si>
    <t>แผนกหม้อแปลงภายในขนาด 800 kVA(ชุดกราวด์แรงต่ำทองแดง)</t>
  </si>
  <si>
    <t>แผนกหม้อแปลงภายในขนาด 1,000 kVA(ชุดกราวด์แรงต่ำทองแดง)</t>
  </si>
  <si>
    <t>แผนกหม้อแปลงภายในขนาด 1,250 kVA(ชุดกราวด์แรงต่ำทองแดง)</t>
  </si>
  <si>
    <t>แผนกหม้อแปลงภายในขนาด 1,500 kVA(ชุดกราวด์แรงต่ำทองแดง)</t>
  </si>
  <si>
    <t>แผนกหม้อแปลงภายในขนาด 1,800 kVA(ชุดกราวด์แรงต่ำทองแดง)</t>
  </si>
  <si>
    <t>แผนกหม้อแปลงภายในขนาด 2,000 kVA(ชุดกราวด์แรงต่ำทองแดง)</t>
  </si>
  <si>
    <t>T 30-160</t>
  </si>
  <si>
    <t>T 250-315</t>
  </si>
  <si>
    <t>T 400</t>
  </si>
  <si>
    <t>T &gt;500</t>
  </si>
  <si>
    <t>ชุดราคากราว์ทองแดงหม้อแปลงขนาด 30_160kVA</t>
  </si>
  <si>
    <t>ชุดราคากราว์ทองแดงหม้อแปลงขนาด 250_315kVA</t>
  </si>
  <si>
    <t>ชุดราคากราว์ทองแดงหม้อแปลงขนาด 400kVA</t>
  </si>
  <si>
    <t>ชุดราคากราว์ทองแดงหม้อแปลงขนาด 500kVA</t>
  </si>
  <si>
    <t>แผนกหม้อแปลงภายนอกขนาด 30 kVA(ชุดกราวด์แรงต่ำทองแดง)</t>
  </si>
  <si>
    <t>แผนกหม้อแปลงภายนอกขนาด 50 kVA(ชุดกราวด์แรงต่ำทองแดง)</t>
  </si>
  <si>
    <t>แผนกหม้อแปลงภายนอกขนาด 100 kVA(ชุดกราวด์แรงต่ำทองแดง)</t>
  </si>
  <si>
    <t>แผนกหม้อแปลงภายนอกขนาด 160 kVA(ชุดกราวด์แรงต่ำทองแดง)</t>
  </si>
  <si>
    <t>แผนกหม้อแปลงภายนอกขนาด 250 kVA(ชุดกราวด์แรงต่ำทองแดง)</t>
  </si>
  <si>
    <t>แผนกหม้อแปลงภายนอกขนาด 315 kVA(ชุดกราวด์แรงต่ำทองแดง)</t>
  </si>
  <si>
    <t>แผนกหม้อแปลงภายนอกขนาด 400 kVA(ชุดกราวด์แรงต่ำทองแดง)</t>
  </si>
  <si>
    <t>แผนกหม้อแปลงภายนอกขนาด 500 kVA(ชุดกราวด์แรงต่ำทองแดง)</t>
  </si>
  <si>
    <t>แผนกหม้อแปลงภายนอกขนาด 630 kVA(ชุดกราวด์แรงต่ำทองแดง)</t>
  </si>
  <si>
    <t>แผนกหม้อแปลงภายนอกขนาด 800 kVA(ชุดกราวด์แรงต่ำทองแดง)</t>
  </si>
  <si>
    <t>แผนกหม้อแปลงภายนอกขนาด 1,000 kVA(ชุดกราวด์แรงต่ำทองแดง)</t>
  </si>
  <si>
    <t>แผนกหม้อแปลงภายนอกขนาด 1,250 kVA(ชุดกราวด์แรงต่ำทองแดง)</t>
  </si>
  <si>
    <t>แผนกหม้อแปลงภายนอกขนาด 1,500 kVA(ชุดกราวด์แรงต่ำทองแดง)</t>
  </si>
  <si>
    <t>แผนกหม้อแปลงภายนอกขนาด 1,800 kVA(ชุดกราวด์แรงต่ำทองแดง)</t>
  </si>
  <si>
    <t>แผนกหม้อแปลงภายนอกขนาด 2,000 kVA(ชุดกราวด์แรงต่ำทองแดง)</t>
  </si>
  <si>
    <t>แผนกหม้อแปลงภายใน(ชุดกราวด์แรงต่ำทองแดง)</t>
  </si>
  <si>
    <t>แผนกหม้อแปลงภายใน</t>
  </si>
  <si>
    <t>แผนกรื้อถอนแรงสูงภายใน</t>
  </si>
  <si>
    <t>ค่าเชื่อมแรงสูง</t>
  </si>
  <si>
    <t>ค่าตรวจสอบก</t>
  </si>
  <si>
    <t>แผนกหม้อแปลงภายนอก(ชุดกราวด์แรงต่ำทองแดง)</t>
  </si>
  <si>
    <t>For select</t>
  </si>
  <si>
    <t>แผนกแรงสูงภายนอก(คิด 50 %)</t>
  </si>
  <si>
    <t>แผนกรื้อถอนแรงสูงภายนอก</t>
  </si>
  <si>
    <t>แผนกมิเตอร์</t>
  </si>
  <si>
    <t>แผนกรื้อถอนมิเตอร์</t>
  </si>
  <si>
    <t xml:space="preserve">    </t>
  </si>
  <si>
    <t>แผนกรื้อถอนหม้อแปลงภายใน</t>
  </si>
  <si>
    <t>แผนกรื้อถอนหม้อแปลง</t>
  </si>
  <si>
    <t>ค่าตรวจสอบแรงสูงภายในระยะทางไม่เกิน 1 กม.</t>
  </si>
  <si>
    <t xml:space="preserve">(ชุดสาย Wiring ทองแดง ขนาด 185 ตร.มม.) </t>
  </si>
  <si>
    <t xml:space="preserve">สายทองแดงหุ้มฉนวน (CV) ขนาด 185 ตร.มม.  </t>
  </si>
  <si>
    <t xml:space="preserve">หางปลาสำหรับเข้าปลายสายทองแดง 2 รู ขนาด 185 ตร.มม.  </t>
  </si>
  <si>
    <t>จ้างเหมาเบ็ดเสร็จ Turnkey</t>
  </si>
  <si>
    <t xml:space="preserve">ค่าสมทบแรงสูง  (150 ควีเอx100) </t>
  </si>
  <si>
    <t>ท่าช้าง</t>
  </si>
  <si>
    <t>บางกล่ำ</t>
  </si>
  <si>
    <t>-</t>
  </si>
  <si>
    <t>ตามใบเสนอราคา เลขที่ QT-000004637</t>
  </si>
  <si>
    <t>Custom</t>
  </si>
  <si>
    <t>งานปรับปรุงระบบจำหน่ายแรงต่ำภายใน (Turnkey)</t>
  </si>
  <si>
    <t>งานติดตั้งชุดกราวด์ทองแดงและ wiring 185 sq.mm.</t>
  </si>
  <si>
    <t>EA99846905200010</t>
  </si>
  <si>
    <t>ค่าประกันการใช้ไฟ (150 เควีเอ x 400)</t>
  </si>
  <si>
    <t>ค่าธรรมเนียมย้ายเครื่องวัดมิเตอร์แรงต่ำ</t>
  </si>
  <si>
    <t>รวมเงินค่าใช้จ่ายคิดจากผู้ใช้ไฟ รวมภาษีมูลค่าเพิ่ม</t>
  </si>
  <si>
    <t>ลูกค้าชำระค่าตรวจสอบแบบและแผนผัง ตามบิล EA99846905200010 ลว. 20 พ.ค. 69</t>
  </si>
  <si>
    <r>
      <rPr>
        <b/>
        <u/>
        <sz val="14"/>
        <rFont val="TH Sarabun New"/>
        <family val="2"/>
      </rPr>
      <t>หมายเหตุ</t>
    </r>
    <r>
      <rPr>
        <sz val="14"/>
        <rFont val="TH Sarabun New"/>
        <family val="2"/>
      </rPr>
      <t xml:space="preserve"> ยังไม่รวมค่าธรรมเนียมต่าง ๆ ขอให้คิดค่าธรรมเนียมตามระเบียบของ กฟภ.ที่กำหนด นอกโปรแกรมประมาณการ ฯ</t>
    </r>
  </si>
  <si>
    <t>ยอดรวมที่ผู้ใช้ไฟต้องชำระ</t>
  </si>
  <si>
    <t>ยอดรวมที่ผู้ใช้ไฟต้องชำระ รวมภาษีมูลค่าเพิ่ม 7 %</t>
  </si>
  <si>
    <t>T30-160</t>
  </si>
  <si>
    <t>T250-315</t>
  </si>
  <si>
    <t>T400</t>
  </si>
  <si>
    <t>T&gt;500</t>
  </si>
  <si>
    <t>ค่าธรรมเนียมย้ายเครื่องวัดมิเตอร์แรงต่ำประกอบ ซีที</t>
  </si>
  <si>
    <t>6.</t>
  </si>
  <si>
    <t>Turnkey</t>
  </si>
  <si>
    <t>งาน TrunKey</t>
  </si>
  <si>
    <t>-งานจ้างเหมาระบบจำหน่ายไฟฟ้าแรงต่ำจากหม้อแปลงไปยังตู้ MDB ภายในอาคาร</t>
  </si>
  <si>
    <t>การไฟฟ้าส่วนภูมิภาคสาขาหาดใหญ่ได้ดำเนินการสำรวจและประมาณการ ค่าใช้จ่ายในการขยายเขต โดยมีรายละเอียดพอสรุปได้ ดังนี้</t>
  </si>
  <si>
    <t>Additional expense</t>
  </si>
  <si>
    <t>ตารางที่ 6 ค่าประกันการใช้ไฟ (มท)</t>
  </si>
  <si>
    <t>ตารางที่ 5 ค่าธรรมเนียมการขอใช้ไฟ (มท7)</t>
  </si>
  <si>
    <t>Table4</t>
  </si>
  <si>
    <t>1.5 ลูกค้ามีความประสงค์ จัดหา,ออกแบบ และควบคุมการติดตั้งหม้อแปลงขนาด ..... kVA และระบบจำหน่ายไฟฟ้าภายในเองทั้งหมด โดยมี ...... วิศวกรรมควบคุมประเภท ....... สาขาวิศวกรรมไฟฟ้า แขนงไฟฟ้ากำลัง เลขทะเบียน ..... เป็นผู้ออกแบบและ วิศวกรรมควบคุมประเภท ....... สาขาวิศวกรรมไฟฟ้า แขนงไฟฟ้ากำลัง เลขทะเบียน ..... เป็นผู้ ควบคุมการติดตั้งหม้อแปลงและงานก่อสร้างระบบจำหน่ายแรงสูง</t>
  </si>
  <si>
    <t>รายละเอียดข้อความ</t>
  </si>
  <si>
    <t>เงื่อนไขและการกำหนดทรัพย์สิน</t>
  </si>
  <si>
    <t>เงื่อนไขกรณีการไฟฟ้าดำเนินการให้ทั้งหมด</t>
  </si>
  <si>
    <t>เงื่อนไขลูกค้าดำเนินการเองทั้งหมด</t>
  </si>
  <si>
    <t xml:space="preserve">3. ตามอนุมัติ ผจก.กฟส.หาดใหญ่ เลขที่ ต.3กฟส.หญ.ผกส.720/2568 ลว. 30 ก.ค. 68 อนุมัติหลักการ บันทึกค่าใช้จ่ายหน้างาน งานขยายเขตระบบไฟฟ้าสำหรับงานงบผู้ใช้ไฟ (งบC) ที่ 90% ของค่าใช้จ่ายหน้างานตามประมาณการ </t>
  </si>
  <si>
    <t>4. ทั้งนี้ หากการก่อสร้างระบบไฟฟ้า ดังกล่าวข้างต้น มีความจำเป็นต้องแก้ไข 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 ด้วย</t>
  </si>
  <si>
    <t>จึงเรียนมาเพื่อโปรดพิจารณาอนุมัติ ทั้งนี้ลูกค้าต้องชำระค่าใช้จ่ายตามระเบียบ หรือได้ปฏิบัติตามข้อตกลงเรียบร้อยแล้วจึงจะดำเนินการได้</t>
  </si>
  <si>
    <t>ตารางค่าใช้จ่ายในการดำเนินการ</t>
  </si>
  <si>
    <t>เงื่อนไขยอดเงิน</t>
  </si>
  <si>
    <t>ทั้งนี้ หากการก่อสร้างระบบไฟฟ้า ดังกล่าวข้างต้น มีความจำเป็นต้องแก้ไขเปลี่ยนแปลงราคาพัสดุและการไฟฟ้าส่วนภูมิภาค มีความจำเป็นต้องแก้ไข เปลี่ยนแปลงการก่อสร้างฯ หรืออื่นๆ การไฟฟ้าส่วนภูมิภาคจำเป็นต้องเรียกเก็บค่าใช้จ่ายในส่วนที่เพิ่มขึ้นภายหลังต่อไป</t>
  </si>
  <si>
    <t>จึงเรียนมาเพื่อโปรดทราบ หากมีข้อสงสัยประการใด สอบถามรายละเอียดได้ ณ สำนักงานการไฟฟ้าส่วนภูมิภาคสาขาหาดใหญ่ ถนนเพชรเกษม ได้ทุกวันในเวลาเปิดทำการ</t>
  </si>
  <si>
    <t>ตารางเสดงยอดเงินเพิ่มเติม</t>
  </si>
  <si>
    <t>ลูกค้าดำเนินการเองทั้งหมด แบบมีหม้อแปลง</t>
  </si>
  <si>
    <t>การไฟฟ้าดำเนินการให้ทั้งหมด แบบมีหม้อแปลง</t>
  </si>
  <si>
    <t>กฟภ ดำเนินการทั้งหมด (มป)</t>
  </si>
  <si>
    <t>ลูกค้าดำเนินการทั้งหมด (มป)</t>
  </si>
  <si>
    <t xml:space="preserve">กำหนดยืนราคาภายในระยะเวลา 90 วัน นับจากวันที่แจ้งค่าใช้จ่ายให้ผู้ใช้ไฟฟ้าทราบ เมื่อดำเนินการก่อสร้างแล้วเสร็จ ทรัพย์สินที่ติดตั้งในพื้นที่ของลูกค้าจะเป็นทรัพย์สินของลูกค้า ซึ่งลูกค้าจะต้องเป็นผู้ดูแลและบำรุงรักษาเอง ยกเว้นเครื่องวัดหน่วยไฟฟ้า ซึ่งเป็นทรัพย์สินของการไฟฟ้าส่วนภูมิภาค โดยการไฟฟ้าส่วนภูมิภาคจะเป็นผู้ดูแลและบำรุงรักษา </t>
  </si>
  <si>
    <t>เฉพาะยอดเงิน</t>
  </si>
  <si>
    <t>ทั้งหมด</t>
  </si>
  <si>
    <t>งานหม้อแปลงทางหลวง</t>
  </si>
  <si>
    <t>กำหนดยืนราคา ภายในระยะเวลา 180 วัน นับจากวันที่แจ้งค่าใช้จ่ายฉบับนี้ให้ท่านทราบ เมื่อก่อสร้างแล้วเสร็จ ทรัพย์สินแผนกหม้อแปลง เป็นของท่าน ซึ่งจะต้องดูแลบำรุงรักษาเอง (ยกเว้นเครื่องวัดพลังงานไฟฟ้า และอุปกรณ์ประกอบ)</t>
  </si>
  <si>
    <t>ทั้งนี้หากการก่อสร้างระบบไฟฟ้า ดังกล่าวข้างต้น มีความจำเป็นต้องแก้ไขเปลี่ยนแปลงการก่อสร้างฯ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จำเป็นต้องเรียกเก็บค่าใช้จ่ายในส่วนที่เพิ่มขึ้นภายหลังอีกต่างหากด้วย</t>
  </si>
  <si>
    <t>การไฟฟ้าส่วนภูมิภาค ขอเรียกเก็บค่าใช้จ่ายในการสำรวจ ออกแบบ จัดทำแผนผัง ประมาณการ เป็นจำนวนเงิน 5,350.- บาท (รวมภาษีมูลค่าเพิ่ม) แต่หากยืนยันให้การไฟฟ้าส่วนภูมิภาค ดำเนินการก่อสร้างระบบไฟฟ้าภายในบริเวณผู้ใช้ไฟ ซึ่งชำระเงินค่าก่อสร้างภายในกำหนดยืนราคา การไฟฟ้าส่วนภูมิภาค จะยกเว้นไม่เรียกเก็บค่าสำรวจ ออกแบบฯ จำนวนดังกล่าว</t>
  </si>
  <si>
    <t>อนึ่ง ในการชำระเงินให้กับการไฟฟ้าส่วนภูมิภาค ตามข้อ 2.1-2.2 ให้ชำระด้วยเช็ครับรองธนาคาร (แคชเชียร์เช็ค), ดราฟท์หรือเงินสดเท่านั้น และโปรดแนบสำเนาแบบแสดงรายการจดทะเบียนภาษีมูลค่าเพิ่ม (ภ.พ.20) มามอบให้การไฟฟ้าส่วนภูมิภาค ด้วย</t>
  </si>
  <si>
    <t>แขวงทางหลวง</t>
  </si>
  <si>
    <t>ลูกค้าดำเนินการเองทั้งหมด เฉพาะแรงสูง</t>
  </si>
  <si>
    <t>ลูกค้าดำเนินการเองทั้งหมด เฉพาะแรงต่ำ</t>
  </si>
  <si>
    <t>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ส่วนทรัพย์สินในแผนกแรงต่ำภายใน เป็นทรัพย์สินของลูกค้าที่จะต้องดูแลและบำรุงรักษาเองยกเว้นมิเตอร์เป็นทรัพย์สินของการไฟฟ้าส่วนภูมิภาค</t>
  </si>
  <si>
    <t>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ส่วนทรัพย์สินในแผนกแรงสูงภายใน เป็นทรัพย์สินของลูกค้าที่จะต้องดูแลและบำรุงรักษาเองยกเว้นมิเตอร์เป็นทรัพย์สินของการไฟฟ้าส่วนภูมิภาค</t>
  </si>
  <si>
    <t>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ส่วนทรัพย์สินในแผนกแรงสูงภายใน แผนกหม้อแปลงเป็นทรัพย์สินของลูกค้าที่จะต้องดูแลและบำรุงรักษาเองยกเว้นมิเตอร์เป็นทรัพย์สินของการไฟฟ้าส่วนภูมิภาค</t>
  </si>
  <si>
    <t>1. ค่าใช้จ่ายที่เรียกเก็บจากลูกค้ามีกำหนดยืนราคา 90 วัน นับตั้งแต่วันที่ออกหนังสือแจ้ง ค่าใช้จ่าย และลูกค้าได้ชำระค่าตรวจสอบแบบและแผนผังรวมภาษีมูลค่าเพิ่มแล้วเป็นเงิน 5,350.- บาท</t>
  </si>
  <si>
    <t xml:space="preserve">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ส่วนทรัพย์สินในแผนกแรงสูงภายใน แผนกหม้อแปลงเป็นทรัพย์สินของลูกค้าที่จะต้องดูแลและบำรุงรักษาเองยกเว้นมิเตอร์เป็นทรัพย์สินของการไฟฟ้าส่วนภูมิภาค </t>
  </si>
  <si>
    <t xml:space="preserve">2. เมื่อก่อสร้างแล้วเสร็จ ทรัพย์สินในแผนกหม้อแปลงเป็นทรัพย์สินของลูกค้าที่จะต้องดูแลและบำรุงรักษาเองยกเว้นมิเตอร์เป็นทรัพย์สินของการไฟฟ้าส่วนภูมิภาค </t>
  </si>
  <si>
    <t>การไฟฟ้าดำเนินการให้ทั้งหมด แรงสูง</t>
  </si>
  <si>
    <t xml:space="preserve">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ส่วนทรัพย์สินในแผนกแรงสูงภายใน เป็นทรัพย์สินของลูกค้าที่จะต้องดูแลและบำรุงรักษาเองยกเว้นมิเตอร์เป็นทรัพย์สินของการไฟฟ้าส่วนภูมิภาค </t>
  </si>
  <si>
    <t>ลูกค้าดำเนินการเองทั้งหมด แรงสูง</t>
  </si>
  <si>
    <t>การไฟฟ้าดำเนินการเองทั้งหมด เฉพาะแรงสูง</t>
  </si>
  <si>
    <t>การไฟฟ้าดำเนินการเองทั้งหมด เฉพาะแรงต่ำ</t>
  </si>
  <si>
    <t>ลูกค้าดำเนินการเองทั้งหมด แรงต่ำ</t>
  </si>
  <si>
    <t>ขยายเขตแรงต่ำ</t>
  </si>
  <si>
    <t>จึงเรียนมาเพื่อโปรดพิจารณาอนุมัติ</t>
  </si>
  <si>
    <r>
      <t>1</t>
    </r>
    <r>
      <rPr>
        <sz val="11"/>
        <color theme="1"/>
        <rFont val="Tahoma"/>
        <family val="2"/>
        <scheme val="minor"/>
      </rPr>
      <t xml:space="preserve"> ตามอนุมัติ ผวก. เลขที่ กคก.(น.) 292/2563 ลว. 23 มี.ค. 2563 ข้อ 3.2.3 (1) ผู้ขอใช้ไฟรายใหม่บ้านที่อยู่อาศัย วงเงินไม่เกิน 75,000 บาท ระยะทางไม่เกิน 140 เมตร จัดเข้างบประเภท งบ I รหัสงบ C01.1</t>
    </r>
  </si>
  <si>
    <r>
      <t>2</t>
    </r>
    <r>
      <rPr>
        <sz val="11"/>
        <color theme="1"/>
        <rFont val="Tahoma"/>
        <family val="2"/>
        <scheme val="minor"/>
      </rPr>
      <t xml:space="preserve"> เมื่อก่อสร้างแล้วเสร็จ ทรัพย์สินเป็นของ กฟภ. ซึ่งจะต้องบำรุงรักษาต่อไป</t>
    </r>
  </si>
  <si>
    <r>
      <t>3</t>
    </r>
    <r>
      <rPr>
        <sz val="11"/>
        <color theme="1"/>
        <rFont val="Tahoma"/>
        <family val="2"/>
        <scheme val="minor"/>
      </rPr>
      <t xml:space="preserve"> สภาพหน้างานการคมนาคมไม่สะดวก เห็นควรคิดค่าแรงกรณี 2</t>
    </r>
  </si>
  <si>
    <r>
      <t>4</t>
    </r>
    <r>
      <rPr>
        <sz val="11"/>
        <color theme="1"/>
        <rFont val="Tahoma"/>
        <family val="2"/>
        <scheme val="minor"/>
      </rPr>
      <t xml:space="preserve"> ตามอนุมัติ ผจก.กฟส.หาดใหญ่ เลขที่ ต.3กฟส.หญ.ผกส.720/2568 ลว. 30 ก.ค. 68 อนุมัติหลักการบันทึกค่าใช้จ่ายหน้างาน งานขยายเขตระบบไฟฟ้าสำหรับงานงบผู้ใช้ไฟ (งบ C) ที่ 90% ของค่าใช้จ่ายหน้างานตามประมาณการ</t>
    </r>
  </si>
  <si>
    <t>กฟภ ดำเนินการทั้งหมด (รส)</t>
  </si>
  <si>
    <t>กฟภ ดำเนินการทั้งหมด (รต)</t>
  </si>
  <si>
    <t>ลูกค้าดำเนินการทั้งหมด (รส)</t>
  </si>
  <si>
    <t>ลูกค้าดำเนินการทั้งหมด (รต)</t>
  </si>
  <si>
    <t>การไฟฟ้าดำเนินการให้ทั้งหมด แรงต่ำ</t>
  </si>
  <si>
    <t>อุปกรณ์จับยึดหม้อแปลงป้องกันการโจรกรรม (Nut lock)</t>
  </si>
  <si>
    <t xml:space="preserve">1. ค่าใช้จ่ายที่เรียกเก็บจากลูกค้ามีกำหนดยืนราคา 180 วัน นับตั้งแต่วันที่ออกหนังสือแจ้ง ค่าใช้จ่าย </t>
  </si>
  <si>
    <t>แขวงทางหลวงสงขลาที่ 1 หน้าศูนย์กระจายสินค้า (จุดที่ 2)</t>
  </si>
  <si>
    <t>หน้าศูนย์กระจายสินค้า (จุดที่ 2)</t>
  </si>
  <si>
    <t>0382</t>
  </si>
  <si>
    <t>0796</t>
  </si>
  <si>
    <t>LHAY69002507</t>
  </si>
  <si>
    <t>ค่าสมทบแรงสูง  (30 ควีเอx100)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</si>
</sst>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quot;฿&quot;* #,##0.00_-;_-&quot;฿&quot;* &quot;-&quot;??_-;_-@_-"/>
    <numFmt numFmtId="43" formatCode="_-* #,##0.00_-;\-* #,##0.00_-;_-* &quot;-&quot;??_-;_-@_-"/>
    <numFmt numFmtId="187" formatCode="_(* #,##0.00_);_(* \(#,##0.00\);_(* &quot;-&quot;??_);_(@_)"/>
    <numFmt numFmtId="188" formatCode="_-* #,##0_-;\-* #,##0_-;_-* &quot;-&quot;??_-;_-@_-"/>
    <numFmt numFmtId="189" formatCode="ดดดด\ ปปปป"/>
    <numFmt numFmtId="190" formatCode="[$-41E]d\ mmm\ yyyy"/>
    <numFmt numFmtId="191" formatCode="d\ ดดด\ yy"/>
  </numFmts>
  <fonts count="43" x14ac:knownFonts="1">
    <font>
      <sz val="11"/>
      <color theme="1"/>
      <name val="Tahoma"/>
      <family val="2"/>
      <scheme val="minor"/>
    </font>
    <font>
      <sz val="11"/>
      <color theme="1"/>
      <name val="Tahoma"/>
      <family val="2"/>
      <charset val="222"/>
      <scheme val="minor"/>
    </font>
    <font>
      <sz val="10"/>
      <name val="Arial"/>
      <family val="2"/>
    </font>
    <font>
      <sz val="16"/>
      <name val="TH SarabunPSK"/>
      <family val="2"/>
    </font>
    <font>
      <b/>
      <sz val="16"/>
      <name val="TH SarabunPSK"/>
      <family val="2"/>
    </font>
    <font>
      <sz val="10"/>
      <name val="Arial"/>
      <family val="2"/>
    </font>
    <font>
      <b/>
      <sz val="18"/>
      <name val="TH SarabunPSK"/>
      <family val="2"/>
    </font>
    <font>
      <b/>
      <sz val="16"/>
      <color indexed="16"/>
      <name val="TH SarabunPSK"/>
      <family val="2"/>
    </font>
    <font>
      <b/>
      <sz val="20"/>
      <name val="TH SarabunPSK"/>
      <family val="2"/>
    </font>
    <font>
      <sz val="11"/>
      <color theme="1"/>
      <name val="TH Sarabun New"/>
      <family val="2"/>
    </font>
    <font>
      <sz val="16"/>
      <color theme="1"/>
      <name val="TH Sarabun New"/>
      <family val="2"/>
    </font>
    <font>
      <b/>
      <sz val="16"/>
      <color theme="1"/>
      <name val="TH Sarabun New"/>
      <family val="2"/>
    </font>
    <font>
      <b/>
      <sz val="16"/>
      <color theme="0"/>
      <name val="TH Sarabun New"/>
      <family val="2"/>
    </font>
    <font>
      <sz val="14"/>
      <color theme="1"/>
      <name val="TH Sarabun New"/>
      <family val="2"/>
    </font>
    <font>
      <b/>
      <sz val="14"/>
      <color theme="1"/>
      <name val="TH Sarabun New"/>
      <family val="2"/>
    </font>
    <font>
      <sz val="8"/>
      <name val="Tahoma"/>
      <family val="2"/>
      <scheme val="minor"/>
    </font>
    <font>
      <sz val="11"/>
      <color theme="1"/>
      <name val="Tahoma"/>
      <family val="2"/>
      <scheme val="minor"/>
    </font>
    <font>
      <b/>
      <sz val="16"/>
      <name val="TH Sarabun New"/>
      <family val="2"/>
    </font>
    <font>
      <sz val="16"/>
      <name val="TH Sarabun New"/>
      <family val="2"/>
    </font>
    <font>
      <b/>
      <sz val="16"/>
      <color rgb="FFFF0000"/>
      <name val="TH Sarabun New"/>
      <family val="2"/>
    </font>
    <font>
      <sz val="16"/>
      <color theme="1"/>
      <name val="TH SarabunIT๙"/>
      <family val="2"/>
    </font>
    <font>
      <b/>
      <sz val="16"/>
      <color theme="1"/>
      <name val="TH SarabunIT๙"/>
      <family val="2"/>
    </font>
    <font>
      <sz val="14"/>
      <name val="TH SarabunPSK"/>
      <family val="2"/>
    </font>
    <font>
      <b/>
      <u/>
      <sz val="14"/>
      <name val="TH SarabunPSK"/>
      <family val="2"/>
    </font>
    <font>
      <b/>
      <sz val="18"/>
      <color theme="1"/>
      <name val="TH Sarabun New"/>
      <family val="2"/>
    </font>
    <font>
      <b/>
      <sz val="22"/>
      <color theme="1"/>
      <name val="TH SarabunPSK"/>
      <family val="2"/>
    </font>
    <font>
      <sz val="20"/>
      <color theme="1"/>
      <name val="TH SarabunPSK"/>
      <family val="2"/>
    </font>
    <font>
      <sz val="18"/>
      <color theme="1"/>
      <name val="TH SarabunPSK"/>
      <family val="2"/>
    </font>
    <font>
      <sz val="18"/>
      <color rgb="FFFF0000"/>
      <name val="TH SarabunPSK"/>
      <family val="2"/>
    </font>
    <font>
      <b/>
      <sz val="18"/>
      <color theme="1"/>
      <name val="TH SarabunPSK"/>
      <family val="2"/>
    </font>
    <font>
      <sz val="22"/>
      <color theme="1"/>
      <name val="TH SarabunPSK"/>
      <family val="2"/>
    </font>
    <font>
      <sz val="18"/>
      <name val="TH SarabunPSK"/>
      <family val="2"/>
    </font>
    <font>
      <sz val="22"/>
      <name val="TH SarabunPSK"/>
      <family val="2"/>
    </font>
    <font>
      <b/>
      <sz val="20"/>
      <color theme="1"/>
      <name val="TH SarabunPSK"/>
      <family val="2"/>
    </font>
    <font>
      <sz val="14"/>
      <name val="TH Sarabun New"/>
      <family val="2"/>
    </font>
    <font>
      <b/>
      <u/>
      <sz val="14"/>
      <name val="TH Sarabun New"/>
      <family val="2"/>
    </font>
    <font>
      <b/>
      <sz val="14"/>
      <name val="TH Sarabun New"/>
      <family val="2"/>
    </font>
    <font>
      <b/>
      <sz val="13"/>
      <color theme="1"/>
      <name val="TH Sarabun New"/>
      <family val="2"/>
    </font>
    <font>
      <sz val="13"/>
      <color theme="1"/>
      <name val="TH Sarabun New"/>
      <family val="2"/>
    </font>
    <font>
      <b/>
      <sz val="11"/>
      <color theme="1"/>
      <name val="Tahoma"/>
      <family val="2"/>
      <scheme val="minor"/>
    </font>
    <font>
      <b/>
      <sz val="14"/>
      <name val="TH SarabunPSK"/>
      <family val="2"/>
    </font>
    <font>
      <b/>
      <sz val="20"/>
      <color theme="0" tint="-4.9989318521683403E-2"/>
      <name val="TH Sarabun New"/>
      <family val="2"/>
    </font>
    <font>
      <sz val="20"/>
      <color theme="1"/>
      <name val="TH Sarabun New"/>
      <family val="2"/>
    </font>
  </fonts>
  <fills count="13">
    <fill>
      <patternFill patternType="none"/>
    </fill>
    <fill>
      <patternFill patternType="gray125"/>
    </fill>
    <fill>
      <patternFill patternType="solid">
        <fgColor rgb="FF7030A0"/>
        <bgColor indexed="64"/>
      </patternFill>
    </fill>
    <fill>
      <patternFill patternType="solid">
        <fgColor rgb="FF0070C0"/>
        <bgColor indexed="64"/>
      </patternFill>
    </fill>
    <fill>
      <patternFill patternType="solid">
        <fgColor rgb="FFFF0000"/>
        <bgColor indexed="64"/>
      </patternFill>
    </fill>
    <fill>
      <patternFill patternType="solid">
        <fgColor rgb="FF00B050"/>
        <bgColor indexed="64"/>
      </patternFill>
    </fill>
    <fill>
      <patternFill patternType="solid">
        <fgColor theme="8" tint="-0.499984740745262"/>
        <bgColor indexed="64"/>
      </patternFill>
    </fill>
    <fill>
      <patternFill patternType="solid">
        <fgColor rgb="FFFFFF00"/>
        <bgColor indexed="64"/>
      </patternFill>
    </fill>
    <fill>
      <patternFill patternType="solid">
        <fgColor theme="0" tint="-0.34998626667073579"/>
        <bgColor indexed="64"/>
      </patternFill>
    </fill>
    <fill>
      <patternFill patternType="solid">
        <fgColor rgb="FFFFC000"/>
        <bgColor indexed="64"/>
      </patternFill>
    </fill>
    <fill>
      <patternFill patternType="solid">
        <fgColor theme="0" tint="-4.9989318521683403E-2"/>
        <bgColor indexed="64"/>
      </patternFill>
    </fill>
    <fill>
      <patternFill patternType="solid">
        <fgColor rgb="FF00B0F0"/>
        <bgColor indexed="64"/>
      </patternFill>
    </fill>
    <fill>
      <patternFill patternType="solid">
        <fgColor rgb="FF92D05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top/>
      <bottom style="double">
        <color indexed="64"/>
      </bottom>
      <diagonal/>
    </border>
    <border>
      <left/>
      <right/>
      <top style="double">
        <color indexed="64"/>
      </top>
      <bottom style="double">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top style="double">
        <color indexed="64"/>
      </top>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s>
  <cellStyleXfs count="8">
    <xf numFmtId="0" fontId="0" fillId="0" borderId="0"/>
    <xf numFmtId="0" fontId="2" fillId="0" borderId="0"/>
    <xf numFmtId="44" fontId="5" fillId="0" borderId="0" applyFont="0" applyFill="0" applyBorder="0" applyAlignment="0" applyProtection="0"/>
    <xf numFmtId="43" fontId="5" fillId="0" borderId="0" applyFont="0" applyFill="0" applyBorder="0" applyAlignment="0" applyProtection="0"/>
    <xf numFmtId="44" fontId="2" fillId="0" borderId="0" applyFont="0" applyFill="0" applyBorder="0" applyAlignment="0" applyProtection="0"/>
    <xf numFmtId="187" fontId="16" fillId="0" borderId="0" applyFont="0" applyFill="0" applyBorder="0" applyAlignment="0" applyProtection="0"/>
    <xf numFmtId="0" fontId="1" fillId="0" borderId="0"/>
    <xf numFmtId="43" fontId="1" fillId="0" borderId="0" applyFont="0" applyFill="0" applyBorder="0" applyAlignment="0" applyProtection="0"/>
  </cellStyleXfs>
  <cellXfs count="278">
    <xf numFmtId="0" fontId="0" fillId="0" borderId="0" xfId="0"/>
    <xf numFmtId="0" fontId="3" fillId="0" borderId="0" xfId="1" applyFont="1"/>
    <xf numFmtId="0" fontId="3" fillId="0" borderId="0" xfId="1" applyFont="1" applyAlignment="1">
      <alignment horizontal="center"/>
    </xf>
    <xf numFmtId="0" fontId="4" fillId="0" borderId="1" xfId="1" applyFont="1" applyBorder="1" applyAlignment="1">
      <alignment horizontal="center"/>
    </xf>
    <xf numFmtId="0" fontId="3" fillId="0" borderId="5" xfId="1" applyFont="1" applyBorder="1"/>
    <xf numFmtId="0" fontId="3" fillId="0" borderId="1" xfId="1" applyFont="1" applyBorder="1" applyAlignment="1">
      <alignment horizontal="center"/>
    </xf>
    <xf numFmtId="0" fontId="3" fillId="0" borderId="2" xfId="1" applyFont="1" applyBorder="1"/>
    <xf numFmtId="0" fontId="3" fillId="0" borderId="3" xfId="1" applyFont="1" applyBorder="1"/>
    <xf numFmtId="0" fontId="3" fillId="0" borderId="6" xfId="1" applyFont="1" applyBorder="1"/>
    <xf numFmtId="0" fontId="3" fillId="0" borderId="7" xfId="1" applyFont="1" applyBorder="1" applyAlignment="1">
      <alignment horizontal="center"/>
    </xf>
    <xf numFmtId="0" fontId="4" fillId="0" borderId="3" xfId="1" applyFont="1" applyBorder="1"/>
    <xf numFmtId="0" fontId="3" fillId="0" borderId="9" xfId="1" applyFont="1" applyBorder="1" applyAlignment="1">
      <alignment horizontal="center"/>
    </xf>
    <xf numFmtId="0" fontId="4" fillId="0" borderId="0" xfId="1" applyFont="1"/>
    <xf numFmtId="4" fontId="3" fillId="0" borderId="0" xfId="1" applyNumberFormat="1" applyFont="1"/>
    <xf numFmtId="4" fontId="4" fillId="0" borderId="0" xfId="1" applyNumberFormat="1" applyFont="1"/>
    <xf numFmtId="4" fontId="4" fillId="0" borderId="10" xfId="1" applyNumberFormat="1" applyFont="1" applyBorder="1" applyAlignment="1">
      <alignment horizontal="right"/>
    </xf>
    <xf numFmtId="4" fontId="3" fillId="0" borderId="9" xfId="1" applyNumberFormat="1" applyFont="1" applyBorder="1" applyAlignment="1">
      <alignment horizontal="right"/>
    </xf>
    <xf numFmtId="0" fontId="4" fillId="0" borderId="0" xfId="1" applyFont="1" applyAlignment="1">
      <alignment horizontal="center"/>
    </xf>
    <xf numFmtId="0" fontId="3" fillId="0" borderId="10" xfId="1" applyFont="1" applyBorder="1"/>
    <xf numFmtId="188" fontId="3" fillId="0" borderId="0" xfId="3" applyNumberFormat="1" applyFont="1"/>
    <xf numFmtId="0" fontId="4" fillId="0" borderId="7" xfId="1" applyFont="1" applyBorder="1" applyAlignment="1">
      <alignment horizontal="center"/>
    </xf>
    <xf numFmtId="0" fontId="4" fillId="0" borderId="5" xfId="1" applyFont="1" applyBorder="1" applyAlignment="1">
      <alignment horizontal="center"/>
    </xf>
    <xf numFmtId="0" fontId="4" fillId="0" borderId="13" xfId="1" applyFont="1" applyBorder="1"/>
    <xf numFmtId="188" fontId="4" fillId="0" borderId="1" xfId="3" applyNumberFormat="1" applyFont="1" applyBorder="1" applyAlignment="1">
      <alignment horizontal="center"/>
    </xf>
    <xf numFmtId="0" fontId="3" fillId="0" borderId="1" xfId="1" applyFont="1" applyBorder="1"/>
    <xf numFmtId="0" fontId="4" fillId="0" borderId="6" xfId="1" applyFont="1" applyBorder="1" applyAlignment="1">
      <alignment horizontal="center"/>
    </xf>
    <xf numFmtId="188" fontId="4" fillId="0" borderId="16" xfId="3" applyNumberFormat="1" applyFont="1" applyBorder="1" applyAlignment="1">
      <alignment horizontal="center"/>
    </xf>
    <xf numFmtId="0" fontId="3" fillId="0" borderId="16" xfId="1" applyFont="1" applyBorder="1"/>
    <xf numFmtId="43" fontId="3" fillId="0" borderId="1" xfId="3" applyFont="1" applyBorder="1" applyAlignment="1">
      <alignment vertical="center"/>
    </xf>
    <xf numFmtId="188" fontId="4" fillId="0" borderId="1" xfId="1" applyNumberFormat="1" applyFont="1" applyBorder="1"/>
    <xf numFmtId="188" fontId="4" fillId="0" borderId="16" xfId="3" applyNumberFormat="1" applyFont="1" applyBorder="1"/>
    <xf numFmtId="0" fontId="4" fillId="0" borderId="16" xfId="1" applyFont="1" applyBorder="1"/>
    <xf numFmtId="0" fontId="4" fillId="0" borderId="9" xfId="1" applyFont="1" applyBorder="1"/>
    <xf numFmtId="43" fontId="3" fillId="0" borderId="1" xfId="3" applyFont="1" applyBorder="1"/>
    <xf numFmtId="0" fontId="4" fillId="0" borderId="12" xfId="1" applyFont="1" applyBorder="1"/>
    <xf numFmtId="188" fontId="4" fillId="0" borderId="16" xfId="1" applyNumberFormat="1" applyFont="1" applyBorder="1"/>
    <xf numFmtId="0" fontId="4" fillId="0" borderId="17" xfId="1" applyFont="1" applyBorder="1"/>
    <xf numFmtId="0" fontId="4" fillId="0" borderId="8" xfId="1" applyFont="1" applyBorder="1"/>
    <xf numFmtId="0" fontId="4" fillId="0" borderId="2" xfId="1" applyFont="1" applyBorder="1"/>
    <xf numFmtId="188" fontId="4" fillId="0" borderId="4" xfId="3" applyNumberFormat="1" applyFont="1" applyBorder="1"/>
    <xf numFmtId="43" fontId="4" fillId="0" borderId="4" xfId="1" applyNumberFormat="1" applyFont="1" applyBorder="1"/>
    <xf numFmtId="43" fontId="4" fillId="0" borderId="1" xfId="1" applyNumberFormat="1" applyFont="1" applyBorder="1"/>
    <xf numFmtId="0" fontId="4" fillId="0" borderId="1" xfId="1" applyFont="1" applyBorder="1"/>
    <xf numFmtId="43" fontId="3" fillId="0" borderId="1" xfId="3" applyFont="1" applyBorder="1" applyAlignment="1">
      <alignment horizontal="right"/>
    </xf>
    <xf numFmtId="0" fontId="7" fillId="0" borderId="1" xfId="1" applyFont="1" applyBorder="1" applyAlignment="1">
      <alignment horizontal="center"/>
    </xf>
    <xf numFmtId="43" fontId="7" fillId="0" borderId="1" xfId="3" applyFont="1" applyBorder="1" applyAlignment="1">
      <alignment horizontal="right"/>
    </xf>
    <xf numFmtId="0" fontId="4" fillId="0" borderId="6" xfId="1" applyFont="1" applyBorder="1"/>
    <xf numFmtId="188" fontId="3" fillId="0" borderId="16" xfId="3" applyNumberFormat="1" applyFont="1" applyBorder="1" applyAlignment="1">
      <alignment horizontal="right"/>
    </xf>
    <xf numFmtId="43" fontId="3" fillId="0" borderId="7" xfId="3" applyFont="1" applyBorder="1" applyAlignment="1">
      <alignment horizontal="right"/>
    </xf>
    <xf numFmtId="0" fontId="4" fillId="0" borderId="8" xfId="1" applyFont="1" applyBorder="1" applyAlignment="1">
      <alignment horizontal="center"/>
    </xf>
    <xf numFmtId="0" fontId="3" fillId="0" borderId="2" xfId="1" applyFont="1" applyBorder="1" applyAlignment="1">
      <alignment horizontal="center"/>
    </xf>
    <xf numFmtId="43" fontId="3" fillId="0" borderId="4" xfId="3" applyFont="1" applyBorder="1" applyAlignment="1">
      <alignment horizontal="right"/>
    </xf>
    <xf numFmtId="188" fontId="3" fillId="0" borderId="4" xfId="3" applyNumberFormat="1" applyFont="1" applyBorder="1"/>
    <xf numFmtId="0" fontId="2" fillId="0" borderId="0" xfId="1"/>
    <xf numFmtId="188" fontId="0" fillId="0" borderId="0" xfId="3" applyNumberFormat="1" applyFont="1"/>
    <xf numFmtId="0" fontId="4" fillId="0" borderId="10" xfId="1" applyFont="1" applyBorder="1"/>
    <xf numFmtId="4" fontId="3" fillId="0" borderId="10" xfId="1" applyNumberFormat="1" applyFont="1" applyBorder="1"/>
    <xf numFmtId="0" fontId="4" fillId="0" borderId="10" xfId="1" applyFont="1" applyBorder="1" applyAlignment="1">
      <alignment horizontal="center" vertical="center"/>
    </xf>
    <xf numFmtId="0" fontId="4" fillId="0" borderId="11" xfId="1" applyFont="1" applyBorder="1" applyAlignment="1">
      <alignment vertical="center"/>
    </xf>
    <xf numFmtId="0" fontId="3" fillId="0" borderId="11" xfId="1" applyFont="1" applyBorder="1" applyAlignment="1">
      <alignment horizontal="center" vertical="center"/>
    </xf>
    <xf numFmtId="0" fontId="4" fillId="0" borderId="11" xfId="1" applyFont="1" applyBorder="1" applyAlignment="1">
      <alignment horizontal="center" vertical="center"/>
    </xf>
    <xf numFmtId="4" fontId="3" fillId="0" borderId="11" xfId="1" applyNumberFormat="1" applyFont="1" applyBorder="1"/>
    <xf numFmtId="0" fontId="9" fillId="0" borderId="0" xfId="0" applyFont="1"/>
    <xf numFmtId="0" fontId="10" fillId="0" borderId="0" xfId="0" applyFont="1"/>
    <xf numFmtId="0" fontId="11" fillId="0" borderId="0" xfId="0" applyFont="1"/>
    <xf numFmtId="0" fontId="4" fillId="0" borderId="0" xfId="1" applyFont="1" applyAlignment="1">
      <alignment vertical="center"/>
    </xf>
    <xf numFmtId="0" fontId="0" fillId="0" borderId="0" xfId="0" applyAlignment="1">
      <alignment horizontal="center" vertical="center"/>
    </xf>
    <xf numFmtId="4" fontId="3" fillId="0" borderId="0" xfId="1" applyNumberFormat="1" applyFont="1" applyAlignment="1">
      <alignment horizontal="right"/>
    </xf>
    <xf numFmtId="0" fontId="4" fillId="0" borderId="10" xfId="1" applyFont="1" applyBorder="1" applyAlignment="1">
      <alignment horizontal="center"/>
    </xf>
    <xf numFmtId="43" fontId="4" fillId="0" borderId="11" xfId="3" applyFont="1" applyBorder="1" applyAlignment="1">
      <alignment horizontal="center" vertical="center"/>
    </xf>
    <xf numFmtId="43" fontId="3" fillId="0" borderId="10" xfId="3" applyFont="1" applyBorder="1" applyAlignment="1">
      <alignment horizontal="center" vertical="center"/>
    </xf>
    <xf numFmtId="0" fontId="3" fillId="0" borderId="10" xfId="1" applyFont="1" applyBorder="1" applyAlignment="1">
      <alignment horizontal="center" vertical="center"/>
    </xf>
    <xf numFmtId="0" fontId="4" fillId="0" borderId="18" xfId="1" applyFont="1" applyBorder="1" applyAlignment="1">
      <alignment horizontal="center"/>
    </xf>
    <xf numFmtId="43" fontId="3" fillId="0" borderId="11" xfId="3" applyFont="1" applyBorder="1" applyAlignment="1">
      <alignment horizontal="center" vertical="center"/>
    </xf>
    <xf numFmtId="0" fontId="4" fillId="0" borderId="0" xfId="1" applyFont="1" applyAlignment="1">
      <alignment vertical="top"/>
    </xf>
    <xf numFmtId="0" fontId="3" fillId="0" borderId="0" xfId="1" applyFont="1" applyAlignment="1">
      <alignment vertical="center"/>
    </xf>
    <xf numFmtId="0" fontId="8" fillId="0" borderId="0" xfId="1" applyFont="1" applyAlignment="1">
      <alignment vertical="center"/>
    </xf>
    <xf numFmtId="0" fontId="12" fillId="3" borderId="0" xfId="0" applyFont="1" applyFill="1" applyAlignment="1">
      <alignment horizontal="center" vertical="center"/>
    </xf>
    <xf numFmtId="0" fontId="0" fillId="0" borderId="0" xfId="0" applyAlignment="1">
      <alignment horizontal="center"/>
    </xf>
    <xf numFmtId="43" fontId="4" fillId="0" borderId="1" xfId="1" applyNumberFormat="1" applyFont="1" applyBorder="1" applyAlignment="1">
      <alignment horizontal="left"/>
    </xf>
    <xf numFmtId="0" fontId="0" fillId="0" borderId="0" xfId="0" applyAlignment="1">
      <alignment horizontal="right"/>
    </xf>
    <xf numFmtId="0" fontId="13" fillId="0" borderId="0" xfId="0" applyFont="1"/>
    <xf numFmtId="0" fontId="13" fillId="0" borderId="0" xfId="0" applyFont="1" applyAlignment="1">
      <alignment horizontal="right"/>
    </xf>
    <xf numFmtId="0" fontId="14" fillId="0" borderId="0" xfId="0" applyFont="1"/>
    <xf numFmtId="4" fontId="13" fillId="0" borderId="0" xfId="0" applyNumberFormat="1" applyFont="1" applyAlignment="1">
      <alignment horizontal="right"/>
    </xf>
    <xf numFmtId="0" fontId="14" fillId="0" borderId="0" xfId="0" applyFont="1" applyAlignment="1">
      <alignment horizontal="center"/>
    </xf>
    <xf numFmtId="0" fontId="13" fillId="0" borderId="0" xfId="0" applyFont="1" applyAlignment="1">
      <alignment horizontal="center"/>
    </xf>
    <xf numFmtId="4" fontId="14" fillId="0" borderId="0" xfId="0" applyNumberFormat="1" applyFont="1" applyAlignment="1">
      <alignment horizontal="right"/>
    </xf>
    <xf numFmtId="49" fontId="13" fillId="0" borderId="0" xfId="0" applyNumberFormat="1" applyFont="1" applyAlignment="1">
      <alignment horizontal="right"/>
    </xf>
    <xf numFmtId="0" fontId="10" fillId="0" borderId="0" xfId="0" applyFont="1" applyAlignment="1">
      <alignment horizontal="left"/>
    </xf>
    <xf numFmtId="0" fontId="10" fillId="0" borderId="0" xfId="0" applyFont="1" applyAlignment="1">
      <alignment horizontal="center"/>
    </xf>
    <xf numFmtId="189" fontId="0" fillId="0" borderId="0" xfId="0" applyNumberFormat="1"/>
    <xf numFmtId="0" fontId="18" fillId="0" borderId="0" xfId="1" applyFont="1"/>
    <xf numFmtId="0" fontId="18" fillId="0" borderId="0" xfId="1" applyFont="1" applyAlignment="1">
      <alignment horizontal="center"/>
    </xf>
    <xf numFmtId="0" fontId="17" fillId="0" borderId="0" xfId="1" applyFont="1" applyAlignment="1">
      <alignment horizontal="center"/>
    </xf>
    <xf numFmtId="0" fontId="17" fillId="0" borderId="1" xfId="1" applyFont="1" applyBorder="1" applyAlignment="1">
      <alignment horizontal="center"/>
    </xf>
    <xf numFmtId="0" fontId="17" fillId="4" borderId="1" xfId="1" applyFont="1" applyFill="1" applyBorder="1" applyAlignment="1">
      <alignment horizontal="center"/>
    </xf>
    <xf numFmtId="0" fontId="17" fillId="5" borderId="1" xfId="1" applyFont="1" applyFill="1" applyBorder="1" applyAlignment="1">
      <alignment horizontal="center"/>
    </xf>
    <xf numFmtId="0" fontId="10" fillId="0" borderId="1" xfId="0" applyFont="1" applyBorder="1"/>
    <xf numFmtId="0" fontId="18" fillId="0" borderId="0" xfId="1" applyFont="1" applyAlignment="1">
      <alignment horizontal="left"/>
    </xf>
    <xf numFmtId="4" fontId="10" fillId="0" borderId="0" xfId="0" applyNumberFormat="1" applyFont="1"/>
    <xf numFmtId="4" fontId="18" fillId="0" borderId="0" xfId="1" applyNumberFormat="1" applyFont="1" applyAlignment="1">
      <alignment horizontal="left" vertical="top"/>
    </xf>
    <xf numFmtId="43" fontId="18" fillId="0" borderId="0" xfId="1" applyNumberFormat="1" applyFont="1" applyAlignment="1">
      <alignment horizontal="left"/>
    </xf>
    <xf numFmtId="0" fontId="19" fillId="0" borderId="0" xfId="1" applyFont="1"/>
    <xf numFmtId="187" fontId="18" fillId="0" borderId="0" xfId="5" applyFont="1" applyAlignment="1">
      <alignment horizontal="right"/>
    </xf>
    <xf numFmtId="187" fontId="10" fillId="0" borderId="0" xfId="5" applyFont="1" applyAlignment="1">
      <alignment horizontal="right"/>
    </xf>
    <xf numFmtId="187" fontId="18" fillId="0" borderId="0" xfId="5" applyFont="1" applyAlignment="1">
      <alignment horizontal="right" vertical="top"/>
    </xf>
    <xf numFmtId="187" fontId="10" fillId="0" borderId="0" xfId="5" applyFont="1"/>
    <xf numFmtId="187" fontId="18" fillId="7" borderId="0" xfId="5" applyFont="1" applyFill="1" applyAlignment="1">
      <alignment horizontal="left"/>
    </xf>
    <xf numFmtId="4" fontId="18" fillId="0" borderId="0" xfId="5" applyNumberFormat="1" applyFont="1" applyAlignment="1">
      <alignment horizontal="right" vertical="top"/>
    </xf>
    <xf numFmtId="0" fontId="11" fillId="0" borderId="0" xfId="0" applyFont="1" applyAlignment="1">
      <alignment horizontal="left"/>
    </xf>
    <xf numFmtId="190" fontId="10" fillId="0" borderId="0" xfId="0" applyNumberFormat="1" applyFont="1" applyAlignment="1">
      <alignment horizontal="left"/>
    </xf>
    <xf numFmtId="191" fontId="10" fillId="0" borderId="0" xfId="0" applyNumberFormat="1" applyFont="1" applyAlignment="1">
      <alignment horizontal="left"/>
    </xf>
    <xf numFmtId="0" fontId="10" fillId="7" borderId="0" xfId="0" applyFont="1" applyFill="1" applyAlignment="1">
      <alignment vertical="top"/>
    </xf>
    <xf numFmtId="0" fontId="18" fillId="7" borderId="0" xfId="1" applyFont="1" applyFill="1" applyAlignment="1">
      <alignment horizontal="left" vertical="top"/>
    </xf>
    <xf numFmtId="49" fontId="10" fillId="0" borderId="0" xfId="0" applyNumberFormat="1" applyFont="1"/>
    <xf numFmtId="49" fontId="10" fillId="0" borderId="0" xfId="0" quotePrefix="1" applyNumberFormat="1" applyFont="1"/>
    <xf numFmtId="187" fontId="18" fillId="0" borderId="0" xfId="5" applyFont="1" applyAlignment="1">
      <alignment horizontal="left"/>
    </xf>
    <xf numFmtId="0" fontId="20" fillId="0" borderId="1" xfId="0" applyFont="1" applyBorder="1"/>
    <xf numFmtId="187" fontId="20" fillId="0" borderId="1" xfId="5" applyFont="1" applyFill="1" applyBorder="1" applyAlignment="1">
      <alignment wrapText="1"/>
    </xf>
    <xf numFmtId="0" fontId="21" fillId="0" borderId="1" xfId="0" applyFont="1" applyBorder="1"/>
    <xf numFmtId="187" fontId="21" fillId="0" borderId="1" xfId="5" applyFont="1" applyFill="1" applyBorder="1" applyAlignment="1">
      <alignment wrapText="1"/>
    </xf>
    <xf numFmtId="4" fontId="20" fillId="0" borderId="1" xfId="5" applyNumberFormat="1" applyFont="1" applyFill="1" applyBorder="1" applyAlignment="1">
      <alignment wrapText="1"/>
    </xf>
    <xf numFmtId="4" fontId="20" fillId="0" borderId="1" xfId="0" applyNumberFormat="1" applyFont="1" applyBorder="1"/>
    <xf numFmtId="0" fontId="11" fillId="4" borderId="0" xfId="0" applyFont="1" applyFill="1"/>
    <xf numFmtId="0" fontId="24" fillId="0" borderId="1" xfId="0" applyFont="1" applyBorder="1"/>
    <xf numFmtId="0" fontId="19" fillId="0" borderId="0" xfId="0" applyFont="1"/>
    <xf numFmtId="0" fontId="21" fillId="0" borderId="13" xfId="0" applyFont="1" applyBorder="1" applyAlignment="1">
      <alignment horizontal="right"/>
    </xf>
    <xf numFmtId="0" fontId="21" fillId="0" borderId="14" xfId="0" applyFont="1" applyBorder="1" applyAlignment="1">
      <alignment horizontal="right"/>
    </xf>
    <xf numFmtId="0" fontId="21" fillId="0" borderId="12" xfId="0" applyFont="1" applyBorder="1" applyAlignment="1">
      <alignment horizontal="left"/>
    </xf>
    <xf numFmtId="0" fontId="21" fillId="0" borderId="7" xfId="0" applyFont="1" applyBorder="1" applyAlignment="1">
      <alignment horizontal="right"/>
    </xf>
    <xf numFmtId="4" fontId="0" fillId="0" borderId="0" xfId="0" applyNumberFormat="1"/>
    <xf numFmtId="187" fontId="18" fillId="0" borderId="0" xfId="5" applyFont="1" applyFill="1" applyAlignment="1">
      <alignment horizontal="right"/>
    </xf>
    <xf numFmtId="0" fontId="30" fillId="0" borderId="0" xfId="6" applyFont="1"/>
    <xf numFmtId="0" fontId="26" fillId="10" borderId="1" xfId="6" applyFont="1" applyFill="1" applyBorder="1" applyAlignment="1">
      <alignment horizontal="center"/>
    </xf>
    <xf numFmtId="0" fontId="27" fillId="0" borderId="1" xfId="6" applyFont="1" applyBorder="1"/>
    <xf numFmtId="1" fontId="27" fillId="0" borderId="1" xfId="6" applyNumberFormat="1" applyFont="1" applyBorder="1" applyAlignment="1">
      <alignment horizontal="center"/>
    </xf>
    <xf numFmtId="4" fontId="27" fillId="0" borderId="1" xfId="6" applyNumberFormat="1" applyFont="1" applyBorder="1"/>
    <xf numFmtId="43" fontId="29" fillId="0" borderId="1" xfId="7" applyFont="1" applyBorder="1"/>
    <xf numFmtId="0" fontId="27" fillId="0" borderId="1" xfId="6" applyFont="1" applyBorder="1" applyAlignment="1">
      <alignment wrapText="1"/>
    </xf>
    <xf numFmtId="1" fontId="27" fillId="0" borderId="1" xfId="6" applyNumberFormat="1" applyFont="1" applyBorder="1" applyAlignment="1">
      <alignment horizontal="center" vertical="center"/>
    </xf>
    <xf numFmtId="4" fontId="27" fillId="0" borderId="1" xfId="6" applyNumberFormat="1" applyFont="1" applyBorder="1" applyAlignment="1">
      <alignment vertical="center"/>
    </xf>
    <xf numFmtId="4" fontId="29" fillId="0" borderId="1" xfId="6" applyNumberFormat="1" applyFont="1" applyBorder="1"/>
    <xf numFmtId="0" fontId="30" fillId="0" borderId="1" xfId="6" applyFont="1" applyBorder="1"/>
    <xf numFmtId="4" fontId="29" fillId="0" borderId="19" xfId="6" applyNumberFormat="1" applyFont="1" applyBorder="1"/>
    <xf numFmtId="0" fontId="27" fillId="0" borderId="0" xfId="6" applyFont="1"/>
    <xf numFmtId="0" fontId="26" fillId="10" borderId="1" xfId="6" applyFont="1" applyFill="1" applyBorder="1"/>
    <xf numFmtId="0" fontId="31" fillId="0" borderId="1" xfId="6" applyFont="1" applyBorder="1"/>
    <xf numFmtId="1" fontId="31" fillId="0" borderId="1" xfId="6" applyNumberFormat="1" applyFont="1" applyBorder="1" applyAlignment="1">
      <alignment horizontal="center"/>
    </xf>
    <xf numFmtId="4" fontId="31" fillId="0" borderId="1" xfId="6" applyNumberFormat="1" applyFont="1" applyBorder="1"/>
    <xf numFmtId="0" fontId="32" fillId="0" borderId="0" xfId="6" applyFont="1"/>
    <xf numFmtId="0" fontId="29" fillId="0" borderId="0" xfId="6" applyFont="1" applyAlignment="1">
      <alignment horizontal="left"/>
    </xf>
    <xf numFmtId="0" fontId="29" fillId="0" borderId="0" xfId="6" applyFont="1" applyAlignment="1">
      <alignment horizontal="right"/>
    </xf>
    <xf numFmtId="4" fontId="29" fillId="0" borderId="0" xfId="6" applyNumberFormat="1" applyFont="1"/>
    <xf numFmtId="0" fontId="29" fillId="0" borderId="0" xfId="6" applyFont="1"/>
    <xf numFmtId="0" fontId="27" fillId="10" borderId="1" xfId="6" applyFont="1" applyFill="1" applyBorder="1" applyAlignment="1">
      <alignment horizontal="center"/>
    </xf>
    <xf numFmtId="4" fontId="29" fillId="0" borderId="0" xfId="6" applyNumberFormat="1" applyFont="1" applyAlignment="1">
      <alignment horizontal="center"/>
    </xf>
    <xf numFmtId="0" fontId="6" fillId="0" borderId="0" xfId="1" applyFont="1"/>
    <xf numFmtId="0" fontId="31" fillId="0" borderId="0" xfId="1" applyFont="1"/>
    <xf numFmtId="0" fontId="10" fillId="7" borderId="0" xfId="0" applyFont="1" applyFill="1" applyAlignment="1">
      <alignment horizontal="center"/>
    </xf>
    <xf numFmtId="0" fontId="18" fillId="7" borderId="0" xfId="1" applyFont="1" applyFill="1"/>
    <xf numFmtId="4" fontId="10" fillId="7" borderId="0" xfId="0" applyNumberFormat="1" applyFont="1" applyFill="1"/>
    <xf numFmtId="0" fontId="10" fillId="0" borderId="0" xfId="0" applyFont="1" applyAlignment="1">
      <alignment horizontal="center" vertical="center"/>
    </xf>
    <xf numFmtId="0" fontId="10" fillId="7" borderId="0" xfId="0" applyFont="1" applyFill="1"/>
    <xf numFmtId="187" fontId="10" fillId="7" borderId="0" xfId="5" applyFont="1" applyFill="1"/>
    <xf numFmtId="0" fontId="27" fillId="0" borderId="1" xfId="0" applyFont="1" applyBorder="1" applyAlignment="1">
      <alignment wrapText="1"/>
    </xf>
    <xf numFmtId="1" fontId="27" fillId="0" borderId="1" xfId="0" applyNumberFormat="1" applyFont="1" applyBorder="1" applyAlignment="1">
      <alignment horizontal="center" vertical="center"/>
    </xf>
    <xf numFmtId="4" fontId="27" fillId="0" borderId="1" xfId="0" applyNumberFormat="1" applyFont="1" applyBorder="1" applyAlignment="1">
      <alignment vertical="center"/>
    </xf>
    <xf numFmtId="4" fontId="29" fillId="0" borderId="1" xfId="0" applyNumberFormat="1" applyFont="1" applyBorder="1"/>
    <xf numFmtId="0" fontId="27" fillId="0" borderId="1" xfId="6" quotePrefix="1" applyFont="1" applyBorder="1"/>
    <xf numFmtId="43" fontId="29" fillId="0" borderId="1" xfId="7" applyFont="1" applyBorder="1" applyAlignment="1">
      <alignment horizontal="center" vertical="center"/>
    </xf>
    <xf numFmtId="0" fontId="33" fillId="10" borderId="1" xfId="6" applyFont="1" applyFill="1" applyBorder="1" applyAlignment="1">
      <alignment horizontal="center" vertical="center"/>
    </xf>
    <xf numFmtId="0" fontId="10" fillId="11" borderId="0" xfId="0" applyFont="1" applyFill="1"/>
    <xf numFmtId="0" fontId="10" fillId="11" borderId="0" xfId="0" applyFont="1" applyFill="1" applyAlignment="1">
      <alignment horizontal="center" vertical="center"/>
    </xf>
    <xf numFmtId="0" fontId="10" fillId="0" borderId="0" xfId="0" applyFont="1" applyAlignment="1">
      <alignment wrapText="1"/>
    </xf>
    <xf numFmtId="0" fontId="22" fillId="0" borderId="10" xfId="1" applyFont="1" applyBorder="1" applyAlignment="1">
      <alignment horizontal="left" vertical="center"/>
    </xf>
    <xf numFmtId="4" fontId="3" fillId="0" borderId="11" xfId="3" applyNumberFormat="1" applyFont="1" applyBorder="1" applyAlignment="1">
      <alignment horizontal="center" vertical="center"/>
    </xf>
    <xf numFmtId="4" fontId="4" fillId="0" borderId="11" xfId="3" applyNumberFormat="1" applyFont="1" applyBorder="1" applyAlignment="1">
      <alignment horizontal="center" vertical="center"/>
    </xf>
    <xf numFmtId="4" fontId="3" fillId="0" borderId="11" xfId="1" applyNumberFormat="1" applyFont="1" applyBorder="1" applyAlignment="1">
      <alignment horizontal="right" vertical="center"/>
    </xf>
    <xf numFmtId="0" fontId="36" fillId="0" borderId="0" xfId="1" applyFont="1"/>
    <xf numFmtId="0" fontId="34" fillId="0" borderId="0" xfId="1" applyFont="1"/>
    <xf numFmtId="0" fontId="34" fillId="0" borderId="10" xfId="1" applyFont="1" applyBorder="1"/>
    <xf numFmtId="4" fontId="34" fillId="0" borderId="0" xfId="1" applyNumberFormat="1" applyFont="1"/>
    <xf numFmtId="49" fontId="34" fillId="0" borderId="0" xfId="4" applyNumberFormat="1" applyFont="1" applyBorder="1" applyAlignment="1">
      <alignment horizontal="right" vertical="center" wrapText="1"/>
    </xf>
    <xf numFmtId="4" fontId="34" fillId="0" borderId="0" xfId="1" applyNumberFormat="1" applyFont="1" applyAlignment="1">
      <alignment horizontal="right"/>
    </xf>
    <xf numFmtId="49" fontId="36" fillId="0" borderId="0" xfId="4" applyNumberFormat="1" applyFont="1" applyBorder="1" applyAlignment="1">
      <alignment horizontal="right" vertical="center" wrapText="1"/>
    </xf>
    <xf numFmtId="4" fontId="36" fillId="0" borderId="10" xfId="1" applyNumberFormat="1" applyFont="1" applyBorder="1" applyAlignment="1">
      <alignment horizontal="right"/>
    </xf>
    <xf numFmtId="0" fontId="36" fillId="0" borderId="10" xfId="1" applyFont="1" applyBorder="1" applyAlignment="1">
      <alignment horizontal="center"/>
    </xf>
    <xf numFmtId="4" fontId="0" fillId="0" borderId="0" xfId="0" applyNumberFormat="1" applyAlignment="1">
      <alignment horizontal="right"/>
    </xf>
    <xf numFmtId="49" fontId="0" fillId="0" borderId="0" xfId="0" applyNumberFormat="1" applyAlignment="1">
      <alignment horizontal="center"/>
    </xf>
    <xf numFmtId="43" fontId="0" fillId="0" borderId="0" xfId="0" applyNumberFormat="1"/>
    <xf numFmtId="0" fontId="38" fillId="0" borderId="0" xfId="0" applyFont="1" applyAlignment="1">
      <alignment vertical="center" wrapText="1"/>
    </xf>
    <xf numFmtId="0" fontId="39" fillId="0" borderId="0" xfId="0" applyFont="1"/>
    <xf numFmtId="0" fontId="12" fillId="0" borderId="0" xfId="1" applyFont="1"/>
    <xf numFmtId="0" fontId="40" fillId="0" borderId="10" xfId="1" applyFont="1" applyBorder="1" applyAlignment="1">
      <alignment horizontal="center"/>
    </xf>
    <xf numFmtId="4" fontId="22" fillId="0" borderId="10" xfId="1" applyNumberFormat="1" applyFont="1" applyBorder="1" applyAlignment="1">
      <alignment horizontal="center"/>
    </xf>
    <xf numFmtId="10" fontId="22" fillId="0" borderId="10" xfId="1" applyNumberFormat="1" applyFont="1" applyBorder="1" applyAlignment="1">
      <alignment horizontal="center"/>
    </xf>
    <xf numFmtId="0" fontId="22" fillId="0" borderId="10" xfId="1" applyFont="1" applyBorder="1" applyAlignment="1">
      <alignment horizontal="center"/>
    </xf>
    <xf numFmtId="0" fontId="0" fillId="4" borderId="0" xfId="0" applyFill="1"/>
    <xf numFmtId="0" fontId="0" fillId="7" borderId="0" xfId="0" applyFill="1"/>
    <xf numFmtId="0" fontId="0" fillId="12" borderId="0" xfId="0" applyFill="1"/>
    <xf numFmtId="187" fontId="10" fillId="0" borderId="0" xfId="5" applyFont="1" applyAlignment="1">
      <alignment horizontal="left" vertical="center"/>
    </xf>
    <xf numFmtId="187" fontId="0" fillId="0" borderId="0" xfId="5" applyFont="1" applyFill="1" applyAlignment="1">
      <alignment horizontal="left"/>
    </xf>
    <xf numFmtId="0" fontId="41" fillId="2" borderId="0" xfId="0" applyFont="1" applyFill="1"/>
    <xf numFmtId="0" fontId="42" fillId="7" borderId="0" xfId="0" applyFont="1" applyFill="1"/>
    <xf numFmtId="0" fontId="18" fillId="0" borderId="0" xfId="1" applyFont="1" applyAlignment="1">
      <alignment vertical="center" wrapText="1"/>
    </xf>
    <xf numFmtId="4" fontId="36" fillId="0" borderId="0" xfId="1" applyNumberFormat="1" applyFont="1" applyAlignment="1">
      <alignment horizontal="right"/>
    </xf>
    <xf numFmtId="0" fontId="36" fillId="0" borderId="0" xfId="1" applyFont="1" applyAlignment="1">
      <alignment horizontal="center"/>
    </xf>
    <xf numFmtId="0" fontId="34" fillId="0" borderId="0" xfId="1" applyFont="1" applyAlignment="1">
      <alignment horizontal="center"/>
    </xf>
    <xf numFmtId="4" fontId="36" fillId="0" borderId="20" xfId="1" applyNumberFormat="1" applyFont="1" applyBorder="1" applyAlignment="1">
      <alignment horizontal="right"/>
    </xf>
    <xf numFmtId="0" fontId="36" fillId="0" borderId="20" xfId="1" applyFont="1" applyBorder="1" applyAlignment="1">
      <alignment horizontal="center"/>
    </xf>
    <xf numFmtId="0" fontId="14" fillId="0" borderId="0" xfId="0" applyFont="1" applyAlignment="1">
      <alignment horizontal="left"/>
    </xf>
    <xf numFmtId="49" fontId="13" fillId="0" borderId="0" xfId="0" applyNumberFormat="1" applyFont="1" applyAlignment="1">
      <alignment horizontal="center"/>
    </xf>
    <xf numFmtId="0" fontId="13" fillId="0" borderId="0" xfId="0" applyFont="1" applyAlignment="1">
      <alignment horizontal="left"/>
    </xf>
    <xf numFmtId="49" fontId="14" fillId="0" borderId="0" xfId="0" applyNumberFormat="1" applyFont="1" applyAlignment="1">
      <alignment horizontal="center"/>
    </xf>
    <xf numFmtId="44" fontId="36" fillId="0" borderId="0" xfId="4" applyFont="1" applyBorder="1" applyAlignment="1">
      <alignment horizontal="left" vertical="center" wrapText="1"/>
    </xf>
    <xf numFmtId="44" fontId="34" fillId="0" borderId="0" xfId="4" applyFont="1" applyBorder="1" applyAlignment="1">
      <alignment horizontal="left" vertical="center" wrapText="1"/>
    </xf>
    <xf numFmtId="0" fontId="3" fillId="0" borderId="0" xfId="1" applyFont="1" applyAlignment="1">
      <alignment horizontal="left" vertical="center"/>
    </xf>
    <xf numFmtId="0" fontId="3" fillId="0" borderId="0" xfId="1" applyFont="1" applyAlignment="1">
      <alignment horizontal="center" vertical="center"/>
    </xf>
    <xf numFmtId="4" fontId="22" fillId="0" borderId="0" xfId="1" applyNumberFormat="1" applyFont="1" applyAlignment="1">
      <alignment horizontal="center"/>
    </xf>
    <xf numFmtId="10" fontId="22" fillId="0" borderId="0" xfId="1" applyNumberFormat="1" applyFont="1" applyAlignment="1">
      <alignment horizontal="center"/>
    </xf>
    <xf numFmtId="0" fontId="22" fillId="0" borderId="0" xfId="1" applyFont="1" applyAlignment="1">
      <alignment horizontal="center"/>
    </xf>
    <xf numFmtId="0" fontId="22" fillId="0" borderId="0" xfId="1" applyFont="1" applyAlignment="1">
      <alignment horizontal="left" vertical="center"/>
    </xf>
    <xf numFmtId="0" fontId="3" fillId="0" borderId="0" xfId="1" applyFont="1" applyAlignment="1">
      <alignment horizontal="left"/>
    </xf>
    <xf numFmtId="0" fontId="3" fillId="0" borderId="0" xfId="1" applyFont="1" applyAlignment="1">
      <alignment horizontal="center"/>
    </xf>
    <xf numFmtId="0" fontId="3" fillId="0" borderId="0" xfId="1" applyFont="1" applyAlignment="1">
      <alignment horizontal="left" vertical="top" wrapText="1"/>
    </xf>
    <xf numFmtId="0" fontId="3" fillId="0" borderId="10" xfId="1" applyFont="1" applyBorder="1" applyAlignment="1">
      <alignment horizontal="left" vertical="top" wrapText="1"/>
    </xf>
    <xf numFmtId="0" fontId="4" fillId="0" borderId="11" xfId="1" applyFont="1" applyBorder="1" applyAlignment="1">
      <alignment horizontal="center" vertical="center"/>
    </xf>
    <xf numFmtId="0" fontId="4" fillId="0" borderId="18" xfId="1" applyFont="1" applyBorder="1" applyAlignment="1">
      <alignment horizontal="center" vertical="center"/>
    </xf>
    <xf numFmtId="0" fontId="4" fillId="0" borderId="10" xfId="1" applyFont="1" applyBorder="1" applyAlignment="1">
      <alignment horizontal="center" vertical="center"/>
    </xf>
    <xf numFmtId="0" fontId="4" fillId="0" borderId="11" xfId="1" applyFont="1" applyBorder="1" applyAlignment="1">
      <alignment horizontal="left" vertical="center"/>
    </xf>
    <xf numFmtId="0" fontId="29" fillId="0" borderId="1" xfId="6" applyFont="1" applyBorder="1" applyAlignment="1">
      <alignment horizontal="right"/>
    </xf>
    <xf numFmtId="0" fontId="25" fillId="0" borderId="0" xfId="6" applyFont="1" applyAlignment="1">
      <alignment horizontal="center"/>
    </xf>
    <xf numFmtId="0" fontId="25" fillId="0" borderId="9" xfId="6" applyFont="1" applyBorder="1" applyAlignment="1">
      <alignment horizontal="center"/>
    </xf>
    <xf numFmtId="0" fontId="27" fillId="0" borderId="1" xfId="6" applyFont="1" applyBorder="1" applyAlignment="1">
      <alignment horizontal="right"/>
    </xf>
    <xf numFmtId="0" fontId="25" fillId="0" borderId="9" xfId="0" applyFont="1" applyBorder="1" applyAlignment="1">
      <alignment horizontal="center"/>
    </xf>
    <xf numFmtId="4" fontId="29" fillId="0" borderId="1" xfId="6" applyNumberFormat="1" applyFont="1" applyBorder="1" applyAlignment="1">
      <alignment horizontal="center"/>
    </xf>
    <xf numFmtId="4" fontId="29" fillId="0" borderId="19" xfId="6" applyNumberFormat="1" applyFont="1" applyBorder="1" applyAlignment="1">
      <alignment horizontal="center"/>
    </xf>
    <xf numFmtId="0" fontId="10" fillId="0" borderId="0" xfId="0" applyFont="1" applyAlignment="1">
      <alignment horizontal="left"/>
    </xf>
    <xf numFmtId="0" fontId="12" fillId="2" borderId="10" xfId="0" applyFont="1" applyFill="1" applyBorder="1" applyAlignment="1">
      <alignment horizontal="center"/>
    </xf>
    <xf numFmtId="0" fontId="11" fillId="0" borderId="0" xfId="0" applyFont="1" applyAlignment="1">
      <alignment horizontal="left"/>
    </xf>
    <xf numFmtId="0" fontId="10" fillId="0" borderId="0" xfId="0" applyFont="1" applyAlignment="1">
      <alignment horizontal="center"/>
    </xf>
    <xf numFmtId="0" fontId="11" fillId="0" borderId="0" xfId="0" applyFont="1" applyAlignment="1">
      <alignment horizontal="center"/>
    </xf>
    <xf numFmtId="49" fontId="10" fillId="0" borderId="0" xfId="0" quotePrefix="1" applyNumberFormat="1" applyFont="1" applyAlignment="1">
      <alignment horizontal="center"/>
    </xf>
    <xf numFmtId="49" fontId="10" fillId="0" borderId="0" xfId="0" applyNumberFormat="1" applyFont="1" applyAlignment="1">
      <alignment horizontal="center"/>
    </xf>
    <xf numFmtId="49" fontId="10" fillId="0" borderId="0" xfId="0" applyNumberFormat="1" applyFont="1" applyAlignment="1">
      <alignment horizontal="left"/>
    </xf>
    <xf numFmtId="0" fontId="14" fillId="0" borderId="0" xfId="0" applyFont="1" applyAlignment="1">
      <alignment horizontal="left"/>
    </xf>
    <xf numFmtId="0" fontId="14" fillId="0" borderId="0" xfId="0" applyFont="1" applyAlignment="1">
      <alignment horizontal="left" vertical="center"/>
    </xf>
    <xf numFmtId="0" fontId="37" fillId="0" borderId="0" xfId="0" applyFont="1" applyAlignment="1">
      <alignment horizontal="left" vertical="center"/>
    </xf>
    <xf numFmtId="0" fontId="3" fillId="0" borderId="9" xfId="1" applyFont="1" applyBorder="1" applyAlignment="1">
      <alignment horizontal="left" vertical="top" wrapText="1"/>
    </xf>
    <xf numFmtId="0" fontId="6" fillId="0" borderId="0" xfId="1" applyFont="1" applyAlignment="1">
      <alignment horizontal="center" vertical="center"/>
    </xf>
    <xf numFmtId="0" fontId="4" fillId="0" borderId="7" xfId="1" applyFont="1" applyBorder="1" applyAlignment="1">
      <alignment horizontal="center" vertical="center"/>
    </xf>
    <xf numFmtId="0" fontId="4" fillId="0" borderId="5" xfId="1" applyFont="1" applyBorder="1" applyAlignment="1">
      <alignment horizontal="center" vertical="center"/>
    </xf>
    <xf numFmtId="0" fontId="4" fillId="0" borderId="12" xfId="1" applyFont="1" applyBorder="1" applyAlignment="1">
      <alignment horizontal="center" vertical="center"/>
    </xf>
    <xf numFmtId="0" fontId="4" fillId="0" borderId="13" xfId="1" applyFont="1" applyBorder="1" applyAlignment="1">
      <alignment horizontal="center" vertical="center"/>
    </xf>
    <xf numFmtId="0" fontId="4" fillId="0" borderId="14" xfId="1" applyFont="1" applyBorder="1" applyAlignment="1">
      <alignment horizontal="center" vertical="center"/>
    </xf>
    <xf numFmtId="0" fontId="4" fillId="0" borderId="8" xfId="1" applyFont="1" applyBorder="1" applyAlignment="1">
      <alignment horizontal="center" vertical="center"/>
    </xf>
    <xf numFmtId="0" fontId="4" fillId="0" borderId="9" xfId="1" applyFont="1" applyBorder="1" applyAlignment="1">
      <alignment horizontal="center" vertical="center"/>
    </xf>
    <xf numFmtId="0" fontId="4" fillId="0" borderId="15" xfId="1" applyFont="1" applyBorder="1" applyAlignment="1">
      <alignment horizontal="center" vertical="center"/>
    </xf>
    <xf numFmtId="0" fontId="12" fillId="9" borderId="0" xfId="1" applyFont="1" applyFill="1" applyAlignment="1">
      <alignment horizontal="center"/>
    </xf>
    <xf numFmtId="0" fontId="12" fillId="2" borderId="0" xfId="1" applyFont="1" applyFill="1" applyAlignment="1">
      <alignment horizontal="center"/>
    </xf>
    <xf numFmtId="0" fontId="12" fillId="6" borderId="0" xfId="1" applyFont="1" applyFill="1" applyAlignment="1">
      <alignment horizontal="center"/>
    </xf>
    <xf numFmtId="0" fontId="12" fillId="5" borderId="0" xfId="1" applyFont="1" applyFill="1" applyAlignment="1">
      <alignment horizontal="center"/>
    </xf>
    <xf numFmtId="0" fontId="12" fillId="8" borderId="0" xfId="1" applyFont="1" applyFill="1" applyAlignment="1">
      <alignment horizontal="center"/>
    </xf>
    <xf numFmtId="0" fontId="12" fillId="3" borderId="0" xfId="1" applyFont="1" applyFill="1" applyAlignment="1">
      <alignment horizontal="center"/>
    </xf>
    <xf numFmtId="0" fontId="22" fillId="0" borderId="0" xfId="1" applyFont="1" applyAlignment="1">
      <alignment horizontal="left" wrapText="1"/>
    </xf>
    <xf numFmtId="0" fontId="4" fillId="0" borderId="0" xfId="1" applyFont="1" applyAlignment="1">
      <alignment horizontal="center"/>
    </xf>
    <xf numFmtId="44" fontId="4" fillId="0" borderId="18" xfId="4" applyFont="1" applyBorder="1" applyAlignment="1">
      <alignment horizontal="left" wrapText="1"/>
    </xf>
    <xf numFmtId="44" fontId="34" fillId="0" borderId="0" xfId="4" applyFont="1" applyBorder="1" applyAlignment="1">
      <alignment horizontal="left" vertical="center" wrapText="1"/>
    </xf>
    <xf numFmtId="0" fontId="34" fillId="0" borderId="0" xfId="1" applyFont="1" applyAlignment="1">
      <alignment horizontal="left" wrapText="1"/>
    </xf>
    <xf numFmtId="0" fontId="34" fillId="0" borderId="0" xfId="1" applyFont="1" applyAlignment="1">
      <alignment horizontal="left"/>
    </xf>
    <xf numFmtId="44" fontId="36" fillId="0" borderId="0" xfId="4" applyFont="1" applyBorder="1" applyAlignment="1">
      <alignment horizontal="left" vertical="center" wrapText="1"/>
    </xf>
    <xf numFmtId="0" fontId="36" fillId="0" borderId="0" xfId="1" applyFont="1" applyAlignment="1">
      <alignment horizontal="left" vertical="center" wrapText="1"/>
    </xf>
    <xf numFmtId="44" fontId="36" fillId="0" borderId="18" xfId="4" applyFont="1" applyBorder="1" applyAlignment="1">
      <alignment horizontal="left" wrapText="1"/>
    </xf>
    <xf numFmtId="0" fontId="36" fillId="0" borderId="0" xfId="1" applyFont="1" applyAlignment="1">
      <alignment horizontal="center"/>
    </xf>
    <xf numFmtId="0" fontId="34" fillId="0" borderId="0" xfId="1" applyFont="1" applyAlignment="1">
      <alignment horizontal="center"/>
    </xf>
    <xf numFmtId="0" fontId="34" fillId="0" borderId="0" xfId="1" applyFont="1" applyAlignment="1">
      <alignment horizontal="left" vertical="top" wrapText="1"/>
    </xf>
    <xf numFmtId="0" fontId="34" fillId="0" borderId="10" xfId="1" applyFont="1" applyBorder="1" applyAlignment="1">
      <alignment horizontal="left" vertical="top" wrapText="1"/>
    </xf>
  </cellXfs>
  <cellStyles count="8">
    <cellStyle name="Comma" xfId="5" builtinId="3"/>
    <cellStyle name="Comma 2" xfId="3" xr:uid="{A43E0F1B-3BDF-44D8-A8FE-70DBA0D6C12E}"/>
    <cellStyle name="Comma 3" xfId="7" xr:uid="{904387F0-BC43-44FD-9DF0-7A7A8471805B}"/>
    <cellStyle name="Currency 2" xfId="2" xr:uid="{750923C3-1E4B-405D-8DCA-D3450D2E22B6}"/>
    <cellStyle name="Currency 2 2" xfId="4" xr:uid="{09B8764C-81D0-4475-9F55-F4A337A70FC6}"/>
    <cellStyle name="Normal" xfId="0" builtinId="0"/>
    <cellStyle name="Normal 2" xfId="1" xr:uid="{958A2C98-6C26-470E-BFB5-E236730FA1B2}"/>
    <cellStyle name="Normal 3" xfId="6" xr:uid="{6BD495D5-B792-4790-A34D-C145A1E72281}"/>
  </cellStyles>
  <dxfs count="21">
    <dxf>
      <font>
        <b/>
        <i val="0"/>
        <strike val="0"/>
        <condense val="0"/>
        <extend val="0"/>
        <outline val="0"/>
        <shadow val="0"/>
        <u val="none"/>
        <vertAlign val="baseline"/>
        <sz val="14"/>
        <color theme="1"/>
        <name val="TH Sarabun New"/>
        <family val="2"/>
        <scheme val="none"/>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4"/>
        <color theme="1"/>
        <name val="TH Sarabun New"/>
        <family val="2"/>
        <scheme val="none"/>
      </font>
      <numFmt numFmtId="30" formatCode="@"/>
      <alignment horizontal="center" vertical="bottom" textRotation="0" wrapText="0" indent="0" justifyLastLine="0" shrinkToFit="0" readingOrder="0"/>
    </dxf>
    <dxf>
      <font>
        <b/>
        <i val="0"/>
        <strike val="0"/>
        <condense val="0"/>
        <extend val="0"/>
        <outline val="0"/>
        <shadow val="0"/>
        <u val="none"/>
        <vertAlign val="baseline"/>
        <sz val="14"/>
        <color theme="1"/>
        <name val="TH Sarabun New"/>
        <family val="2"/>
        <scheme val="none"/>
      </font>
      <numFmt numFmtId="4" formatCode="#,##0.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4"/>
        <color theme="1"/>
        <name val="TH Sarabun New"/>
        <family val="2"/>
        <scheme val="none"/>
      </font>
      <numFmt numFmtId="4" formatCode="#,##0.00"/>
      <alignment horizontal="right" vertical="bottom" textRotation="0" wrapText="0" indent="0" justifyLastLine="0" shrinkToFit="0" readingOrder="0"/>
    </dxf>
    <dxf>
      <font>
        <b/>
        <i val="0"/>
        <strike val="0"/>
        <condense val="0"/>
        <extend val="0"/>
        <outline val="0"/>
        <shadow val="0"/>
        <u val="none"/>
        <vertAlign val="baseline"/>
        <sz val="14"/>
        <color theme="1"/>
        <name val="TH Sarabun New"/>
        <family val="2"/>
        <scheme val="none"/>
      </font>
      <fill>
        <patternFill patternType="none">
          <fgColor indexed="64"/>
          <bgColor indexed="65"/>
        </patternFill>
      </fill>
    </dxf>
    <dxf>
      <font>
        <b/>
        <i val="0"/>
        <strike val="0"/>
        <condense val="0"/>
        <extend val="0"/>
        <outline val="0"/>
        <shadow val="0"/>
        <u val="none"/>
        <vertAlign val="baseline"/>
        <sz val="14"/>
        <color theme="1"/>
        <name val="TH Sarabun New"/>
        <family val="2"/>
        <scheme val="none"/>
      </font>
      <alignment horizontal="left"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ont>
        <b val="0"/>
        <i val="0"/>
        <strike val="0"/>
        <outline val="0"/>
        <shadow val="0"/>
        <u val="none"/>
        <vertAlign val="baseline"/>
        <sz val="14"/>
        <color theme="1"/>
        <name val="TH Sarabun New"/>
        <family val="2"/>
        <scheme val="none"/>
      </font>
    </dxf>
    <dxf>
      <font>
        <b val="0"/>
        <i val="0"/>
        <strike val="0"/>
        <outline val="0"/>
        <shadow val="0"/>
        <u val="none"/>
        <vertAlign val="baseline"/>
        <sz val="14"/>
        <color theme="1"/>
        <name val="TH Sarabun New"/>
        <family val="2"/>
        <scheme val="none"/>
      </font>
    </dxf>
    <dxf>
      <font>
        <b val="0"/>
        <i val="0"/>
        <strike val="0"/>
        <outline val="0"/>
        <shadow val="0"/>
        <u val="none"/>
        <vertAlign val="baseline"/>
        <sz val="14"/>
        <color theme="1"/>
        <name val="TH Sarabun New"/>
        <family val="2"/>
        <scheme val="none"/>
      </font>
    </dxf>
    <dxf>
      <font>
        <b val="0"/>
        <i val="0"/>
        <strike val="0"/>
        <outline val="0"/>
        <shadow val="0"/>
        <u val="none"/>
        <vertAlign val="baseline"/>
        <sz val="14"/>
        <color theme="1"/>
        <name val="TH Sarabun New"/>
        <family val="2"/>
        <scheme val="none"/>
      </font>
    </dxf>
    <dxf>
      <font>
        <b val="0"/>
        <i val="0"/>
        <strike val="0"/>
        <outline val="0"/>
        <shadow val="0"/>
        <u val="none"/>
        <vertAlign val="baseline"/>
        <sz val="14"/>
        <color theme="1"/>
        <name val="TH Sarabun New"/>
        <family val="2"/>
        <scheme val="none"/>
      </font>
    </dxf>
    <dxf>
      <font>
        <b val="0"/>
        <i val="0"/>
        <strike val="0"/>
        <outline val="0"/>
        <shadow val="0"/>
        <u val="none"/>
        <vertAlign val="baseline"/>
        <sz val="14"/>
        <color theme="1"/>
        <name val="TH Sarabun New"/>
        <family val="2"/>
        <scheme val="none"/>
      </font>
    </dxf>
    <dxf>
      <border outline="0">
        <bottom style="thin">
          <color indexed="64"/>
        </bottom>
      </border>
    </dxf>
    <dxf>
      <font>
        <b val="0"/>
        <i val="0"/>
        <strike val="0"/>
        <condense val="0"/>
        <extend val="0"/>
        <outline val="0"/>
        <shadow val="0"/>
        <u val="none"/>
        <vertAlign val="baseline"/>
        <sz val="16"/>
        <color theme="1"/>
        <name val="TH SarabunIT๙"/>
        <family val="2"/>
        <scheme val="none"/>
      </font>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6"/>
        <color theme="1"/>
        <name val="TH SarabunIT๙"/>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6"/>
        <color theme="1"/>
        <name val="TH SarabunIT๙"/>
        <family val="2"/>
        <scheme val="none"/>
      </font>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6"/>
        <color theme="1"/>
        <name val="TH SarabunIT๙"/>
        <family val="2"/>
        <scheme val="none"/>
      </font>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6"/>
        <color theme="1"/>
        <name val="TH SarabunIT๙"/>
        <family val="2"/>
        <scheme val="none"/>
      </font>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114300</xdr:colOff>
          <xdr:row>8</xdr:row>
          <xdr:rowOff>68580</xdr:rowOff>
        </xdr:from>
        <xdr:to>
          <xdr:col>1</xdr:col>
          <xdr:colOff>312420</xdr:colOff>
          <xdr:row>9</xdr:row>
          <xdr:rowOff>7620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13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10</xdr:row>
          <xdr:rowOff>68580</xdr:rowOff>
        </xdr:from>
        <xdr:to>
          <xdr:col>1</xdr:col>
          <xdr:colOff>335280</xdr:colOff>
          <xdr:row>11</xdr:row>
          <xdr:rowOff>7620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13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12</xdr:row>
          <xdr:rowOff>68580</xdr:rowOff>
        </xdr:from>
        <xdr:to>
          <xdr:col>1</xdr:col>
          <xdr:colOff>312420</xdr:colOff>
          <xdr:row>13</xdr:row>
          <xdr:rowOff>7620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1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13</xdr:row>
          <xdr:rowOff>68580</xdr:rowOff>
        </xdr:from>
        <xdr:to>
          <xdr:col>1</xdr:col>
          <xdr:colOff>335280</xdr:colOff>
          <xdr:row>14</xdr:row>
          <xdr:rowOff>7620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13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14</xdr:row>
          <xdr:rowOff>45720</xdr:rowOff>
        </xdr:from>
        <xdr:to>
          <xdr:col>1</xdr:col>
          <xdr:colOff>312420</xdr:colOff>
          <xdr:row>15</xdr:row>
          <xdr:rowOff>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13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15</xdr:row>
          <xdr:rowOff>45720</xdr:rowOff>
        </xdr:from>
        <xdr:to>
          <xdr:col>1</xdr:col>
          <xdr:colOff>312420</xdr:colOff>
          <xdr:row>16</xdr:row>
          <xdr:rowOff>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13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19</xdr:row>
          <xdr:rowOff>45720</xdr:rowOff>
        </xdr:from>
        <xdr:to>
          <xdr:col>1</xdr:col>
          <xdr:colOff>335280</xdr:colOff>
          <xdr:row>19</xdr:row>
          <xdr:rowOff>266700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13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20</xdr:row>
          <xdr:rowOff>45720</xdr:rowOff>
        </xdr:from>
        <xdr:to>
          <xdr:col>1</xdr:col>
          <xdr:colOff>335280</xdr:colOff>
          <xdr:row>20</xdr:row>
          <xdr:rowOff>266700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13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22</xdr:row>
          <xdr:rowOff>30480</xdr:rowOff>
        </xdr:from>
        <xdr:to>
          <xdr:col>1</xdr:col>
          <xdr:colOff>335280</xdr:colOff>
          <xdr:row>22</xdr:row>
          <xdr:rowOff>259080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13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23</xdr:row>
          <xdr:rowOff>45720</xdr:rowOff>
        </xdr:from>
        <xdr:to>
          <xdr:col>1</xdr:col>
          <xdr:colOff>335280</xdr:colOff>
          <xdr:row>24</xdr:row>
          <xdr:rowOff>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13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25</xdr:row>
          <xdr:rowOff>38100</xdr:rowOff>
        </xdr:from>
        <xdr:to>
          <xdr:col>1</xdr:col>
          <xdr:colOff>335280</xdr:colOff>
          <xdr:row>25</xdr:row>
          <xdr:rowOff>259080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13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27</xdr:row>
          <xdr:rowOff>30480</xdr:rowOff>
        </xdr:from>
        <xdr:to>
          <xdr:col>1</xdr:col>
          <xdr:colOff>335280</xdr:colOff>
          <xdr:row>27</xdr:row>
          <xdr:rowOff>236220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13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971057</xdr:colOff>
      <xdr:row>20</xdr:row>
      <xdr:rowOff>304505</xdr:rowOff>
    </xdr:from>
    <xdr:to>
      <xdr:col>16</xdr:col>
      <xdr:colOff>3613</xdr:colOff>
      <xdr:row>47</xdr:row>
      <xdr:rowOff>1</xdr:rowOff>
    </xdr:to>
    <xdr:sp macro="" textlink="">
      <xdr:nvSpPr>
        <xdr:cNvPr id="3" name="Rectangle 2">
          <a:extLst>
            <a:ext uri="{FF2B5EF4-FFF2-40B4-BE49-F238E27FC236}">
              <a16:creationId xmlns:a16="http://schemas.microsoft.com/office/drawing/2014/main" id="{00000000-0008-0000-1400-000003000000}"/>
            </a:ext>
          </a:extLst>
        </xdr:cNvPr>
        <xdr:cNvSpPr/>
      </xdr:nvSpPr>
      <xdr:spPr>
        <a:xfrm>
          <a:off x="7448057" y="6699862"/>
          <a:ext cx="14476663" cy="8145532"/>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th-TH" sz="1100"/>
        </a:p>
      </xdr:txBody>
    </xdr:sp>
    <xdr:clientData/>
  </xdr:twoCellAnchor>
  <xdr:twoCellAnchor>
    <xdr:from>
      <xdr:col>5</xdr:col>
      <xdr:colOff>358734</xdr:colOff>
      <xdr:row>25</xdr:row>
      <xdr:rowOff>174419</xdr:rowOff>
    </xdr:from>
    <xdr:to>
      <xdr:col>6</xdr:col>
      <xdr:colOff>1889332</xdr:colOff>
      <xdr:row>26</xdr:row>
      <xdr:rowOff>187118</xdr:rowOff>
    </xdr:to>
    <xdr:sp macro="ToggleByShape" textlink="">
      <xdr:nvSpPr>
        <xdr:cNvPr id="63" name="Rectangle: Rounded Corners 62">
          <a:extLst>
            <a:ext uri="{FF2B5EF4-FFF2-40B4-BE49-F238E27FC236}">
              <a16:creationId xmlns:a16="http://schemas.microsoft.com/office/drawing/2014/main" id="{00000000-0008-0000-1400-00003F000000}"/>
            </a:ext>
          </a:extLst>
        </xdr:cNvPr>
        <xdr:cNvSpPr/>
      </xdr:nvSpPr>
      <xdr:spPr>
        <a:xfrm>
          <a:off x="7857507" y="8002237"/>
          <a:ext cx="2535052" cy="324426"/>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Print</a:t>
          </a:r>
          <a:endParaRPr lang="th-TH" sz="1000" b="1">
            <a:solidFill>
              <a:srgbClr val="FFFFFF"/>
            </a:solidFill>
          </a:endParaRPr>
        </a:p>
      </xdr:txBody>
    </xdr:sp>
    <xdr:clientData/>
  </xdr:twoCellAnchor>
  <xdr:twoCellAnchor>
    <xdr:from>
      <xdr:col>5</xdr:col>
      <xdr:colOff>358734</xdr:colOff>
      <xdr:row>27</xdr:row>
      <xdr:rowOff>2390</xdr:rowOff>
    </xdr:from>
    <xdr:to>
      <xdr:col>6</xdr:col>
      <xdr:colOff>1889332</xdr:colOff>
      <xdr:row>28</xdr:row>
      <xdr:rowOff>49727</xdr:rowOff>
    </xdr:to>
    <xdr:sp macro="ToggleByShape" textlink="">
      <xdr:nvSpPr>
        <xdr:cNvPr id="64" name="Rectangle: Rounded Corners 63">
          <a:extLst>
            <a:ext uri="{FF2B5EF4-FFF2-40B4-BE49-F238E27FC236}">
              <a16:creationId xmlns:a16="http://schemas.microsoft.com/office/drawing/2014/main" id="{00000000-0008-0000-1400-000040000000}"/>
            </a:ext>
          </a:extLst>
        </xdr:cNvPr>
        <xdr:cNvSpPr/>
      </xdr:nvSpPr>
      <xdr:spPr>
        <a:xfrm>
          <a:off x="7857507" y="8453663"/>
          <a:ext cx="2535052" cy="359064"/>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Customertable</a:t>
          </a:r>
          <a:endParaRPr lang="th-TH" sz="1000" b="1">
            <a:solidFill>
              <a:srgbClr val="FFFFFF"/>
            </a:solidFill>
          </a:endParaRPr>
        </a:p>
      </xdr:txBody>
    </xdr:sp>
    <xdr:clientData/>
  </xdr:twoCellAnchor>
  <xdr:twoCellAnchor>
    <xdr:from>
      <xdr:col>5</xdr:col>
      <xdr:colOff>358734</xdr:colOff>
      <xdr:row>28</xdr:row>
      <xdr:rowOff>189097</xdr:rowOff>
    </xdr:from>
    <xdr:to>
      <xdr:col>6</xdr:col>
      <xdr:colOff>1889332</xdr:colOff>
      <xdr:row>29</xdr:row>
      <xdr:rowOff>201797</xdr:rowOff>
    </xdr:to>
    <xdr:sp macro="ToggleByShape" textlink="">
      <xdr:nvSpPr>
        <xdr:cNvPr id="65" name="Rectangle: Rounded Corners 64">
          <a:extLst>
            <a:ext uri="{FF2B5EF4-FFF2-40B4-BE49-F238E27FC236}">
              <a16:creationId xmlns:a16="http://schemas.microsoft.com/office/drawing/2014/main" id="{00000000-0008-0000-1400-000041000000}"/>
            </a:ext>
          </a:extLst>
        </xdr:cNvPr>
        <xdr:cNvSpPr/>
      </xdr:nvSpPr>
      <xdr:spPr>
        <a:xfrm>
          <a:off x="7857507" y="8952097"/>
          <a:ext cx="2535052" cy="324427"/>
        </a:xfrm>
        <a:prstGeom prst="roundRect">
          <a:avLst/>
        </a:prstGeom>
        <a:solidFill>
          <a:srgbClr val="00AA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หน้าหลัก</a:t>
          </a:r>
        </a:p>
      </xdr:txBody>
    </xdr:sp>
    <xdr:clientData/>
  </xdr:twoCellAnchor>
  <xdr:twoCellAnchor>
    <xdr:from>
      <xdr:col>5</xdr:col>
      <xdr:colOff>358734</xdr:colOff>
      <xdr:row>30</xdr:row>
      <xdr:rowOff>11626</xdr:rowOff>
    </xdr:from>
    <xdr:to>
      <xdr:col>6</xdr:col>
      <xdr:colOff>1889332</xdr:colOff>
      <xdr:row>31</xdr:row>
      <xdr:rowOff>24326</xdr:rowOff>
    </xdr:to>
    <xdr:sp macro="ToggleByShape" textlink="">
      <xdr:nvSpPr>
        <xdr:cNvPr id="66" name="Rectangle: Rounded Corners 65">
          <a:extLst>
            <a:ext uri="{FF2B5EF4-FFF2-40B4-BE49-F238E27FC236}">
              <a16:creationId xmlns:a16="http://schemas.microsoft.com/office/drawing/2014/main" id="{00000000-0008-0000-1400-000042000000}"/>
            </a:ext>
          </a:extLst>
        </xdr:cNvPr>
        <xdr:cNvSpPr/>
      </xdr:nvSpPr>
      <xdr:spPr>
        <a:xfrm>
          <a:off x="7857507" y="9398081"/>
          <a:ext cx="2535052" cy="324427"/>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topea</a:t>
          </a:r>
          <a:endParaRPr lang="th-TH" sz="1000" b="1">
            <a:solidFill>
              <a:srgbClr val="FFFFFF"/>
            </a:solidFill>
          </a:endParaRPr>
        </a:p>
      </xdr:txBody>
    </xdr:sp>
    <xdr:clientData/>
  </xdr:twoCellAnchor>
  <xdr:twoCellAnchor>
    <xdr:from>
      <xdr:col>5</xdr:col>
      <xdr:colOff>358734</xdr:colOff>
      <xdr:row>31</xdr:row>
      <xdr:rowOff>163697</xdr:rowOff>
    </xdr:from>
    <xdr:to>
      <xdr:col>6</xdr:col>
      <xdr:colOff>1889332</xdr:colOff>
      <xdr:row>32</xdr:row>
      <xdr:rowOff>176398</xdr:rowOff>
    </xdr:to>
    <xdr:sp macro="ToggleByShape" textlink="">
      <xdr:nvSpPr>
        <xdr:cNvPr id="67" name="Rectangle: Rounded Corners 66">
          <a:extLst>
            <a:ext uri="{FF2B5EF4-FFF2-40B4-BE49-F238E27FC236}">
              <a16:creationId xmlns:a16="http://schemas.microsoft.com/office/drawing/2014/main" id="{00000000-0008-0000-1400-000043000000}"/>
            </a:ext>
          </a:extLst>
        </xdr:cNvPr>
        <xdr:cNvSpPr/>
      </xdr:nvSpPr>
      <xdr:spPr>
        <a:xfrm>
          <a:off x="7857507" y="9861879"/>
          <a:ext cx="2535052" cy="324428"/>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tocustomer</a:t>
          </a:r>
          <a:endParaRPr lang="th-TH" sz="1000" b="1">
            <a:solidFill>
              <a:srgbClr val="FFFFFF"/>
            </a:solidFill>
          </a:endParaRPr>
        </a:p>
      </xdr:txBody>
    </xdr:sp>
    <xdr:clientData/>
  </xdr:twoCellAnchor>
  <xdr:twoCellAnchor>
    <xdr:from>
      <xdr:col>5</xdr:col>
      <xdr:colOff>358734</xdr:colOff>
      <xdr:row>32</xdr:row>
      <xdr:rowOff>297955</xdr:rowOff>
    </xdr:from>
    <xdr:to>
      <xdr:col>6</xdr:col>
      <xdr:colOff>1889332</xdr:colOff>
      <xdr:row>33</xdr:row>
      <xdr:rowOff>310654</xdr:rowOff>
    </xdr:to>
    <xdr:sp macro="ToggleByShape" textlink="">
      <xdr:nvSpPr>
        <xdr:cNvPr id="68" name="Rectangle: Rounded Corners 67">
          <a:extLst>
            <a:ext uri="{FF2B5EF4-FFF2-40B4-BE49-F238E27FC236}">
              <a16:creationId xmlns:a16="http://schemas.microsoft.com/office/drawing/2014/main" id="{00000000-0008-0000-1400-000044000000}"/>
            </a:ext>
          </a:extLst>
        </xdr:cNvPr>
        <xdr:cNvSpPr/>
      </xdr:nvSpPr>
      <xdr:spPr>
        <a:xfrm>
          <a:off x="7857507" y="10307864"/>
          <a:ext cx="2535052" cy="324426"/>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profit_template</a:t>
          </a:r>
          <a:endParaRPr lang="th-TH" sz="1000" b="1">
            <a:solidFill>
              <a:srgbClr val="FFFFFF"/>
            </a:solidFill>
          </a:endParaRPr>
        </a:p>
      </xdr:txBody>
    </xdr:sp>
    <xdr:clientData/>
  </xdr:twoCellAnchor>
  <xdr:twoCellAnchor>
    <xdr:from>
      <xdr:col>5</xdr:col>
      <xdr:colOff>345126</xdr:colOff>
      <xdr:row>34</xdr:row>
      <xdr:rowOff>99289</xdr:rowOff>
    </xdr:from>
    <xdr:to>
      <xdr:col>6</xdr:col>
      <xdr:colOff>1875724</xdr:colOff>
      <xdr:row>35</xdr:row>
      <xdr:rowOff>111990</xdr:rowOff>
    </xdr:to>
    <xdr:sp macro="ToggleByShape" textlink="">
      <xdr:nvSpPr>
        <xdr:cNvPr id="74" name="Rectangle: Rounded Corners 73">
          <a:extLst>
            <a:ext uri="{FF2B5EF4-FFF2-40B4-BE49-F238E27FC236}">
              <a16:creationId xmlns:a16="http://schemas.microsoft.com/office/drawing/2014/main" id="{00000000-0008-0000-1400-00004A000000}"/>
            </a:ext>
          </a:extLst>
        </xdr:cNvPr>
        <xdr:cNvSpPr/>
      </xdr:nvSpPr>
      <xdr:spPr>
        <a:xfrm>
          <a:off x="7843899" y="10732653"/>
          <a:ext cx="2535052" cy="324428"/>
        </a:xfrm>
        <a:prstGeom prst="roundRect">
          <a:avLst/>
        </a:prstGeom>
        <a:solidFill>
          <a:srgbClr val="00AA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Hotline</a:t>
          </a:r>
          <a:endParaRPr lang="th-TH" sz="1000" b="1">
            <a:solidFill>
              <a:srgbClr val="FFFFFF"/>
            </a:solidFill>
          </a:endParaRPr>
        </a:p>
      </xdr:txBody>
    </xdr:sp>
    <xdr:clientData/>
  </xdr:twoCellAnchor>
  <xdr:twoCellAnchor>
    <xdr:from>
      <xdr:col>5</xdr:col>
      <xdr:colOff>358735</xdr:colOff>
      <xdr:row>35</xdr:row>
      <xdr:rowOff>201797</xdr:rowOff>
    </xdr:from>
    <xdr:to>
      <xdr:col>6</xdr:col>
      <xdr:colOff>1889333</xdr:colOff>
      <xdr:row>36</xdr:row>
      <xdr:rowOff>209055</xdr:rowOff>
    </xdr:to>
    <xdr:sp macro="ToggleByShape" textlink="">
      <xdr:nvSpPr>
        <xdr:cNvPr id="76" name="Rectangle: Rounded Corners 75">
          <a:extLst>
            <a:ext uri="{FF2B5EF4-FFF2-40B4-BE49-F238E27FC236}">
              <a16:creationId xmlns:a16="http://schemas.microsoft.com/office/drawing/2014/main" id="{00000000-0008-0000-1400-00004C000000}"/>
            </a:ext>
          </a:extLst>
        </xdr:cNvPr>
        <xdr:cNvSpPr/>
      </xdr:nvSpPr>
      <xdr:spPr>
        <a:xfrm>
          <a:off x="7857508" y="11146888"/>
          <a:ext cx="2535052" cy="318985"/>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summary_Template</a:t>
          </a:r>
          <a:endParaRPr lang="th-TH" sz="1000" b="1">
            <a:solidFill>
              <a:srgbClr val="FFFFFF"/>
            </a:solidFill>
          </a:endParaRPr>
        </a:p>
      </xdr:txBody>
    </xdr:sp>
    <xdr:clientData/>
  </xdr:twoCellAnchor>
  <xdr:twoCellAnchor>
    <xdr:from>
      <xdr:col>6</xdr:col>
      <xdr:colOff>2152403</xdr:colOff>
      <xdr:row>25</xdr:row>
      <xdr:rowOff>174419</xdr:rowOff>
    </xdr:from>
    <xdr:to>
      <xdr:col>9</xdr:col>
      <xdr:colOff>540987</xdr:colOff>
      <xdr:row>26</xdr:row>
      <xdr:rowOff>187118</xdr:rowOff>
    </xdr:to>
    <xdr:sp macro="[0]!FillProfitTemplateFromSelection" textlink="">
      <xdr:nvSpPr>
        <xdr:cNvPr id="77" name="Rectangle: Rounded Corners 76">
          <a:extLst>
            <a:ext uri="{FF2B5EF4-FFF2-40B4-BE49-F238E27FC236}">
              <a16:creationId xmlns:a16="http://schemas.microsoft.com/office/drawing/2014/main" id="{00000000-0008-0000-1400-00004D000000}"/>
            </a:ext>
          </a:extLst>
        </xdr:cNvPr>
        <xdr:cNvSpPr/>
      </xdr:nvSpPr>
      <xdr:spPr>
        <a:xfrm>
          <a:off x="10655630" y="8002237"/>
          <a:ext cx="4138221" cy="324426"/>
        </a:xfrm>
        <a:prstGeom prst="roundRect">
          <a:avLst/>
        </a:prstGeom>
        <a:solidFill>
          <a:srgbClr val="C8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กำไร</a:t>
          </a:r>
          <a:r>
            <a:rPr lang="th-TH" sz="1000" b="1" baseline="0">
              <a:solidFill>
                <a:srgbClr val="FFFFFF"/>
              </a:solidFill>
            </a:rPr>
            <a:t>ขั้นต้น</a:t>
          </a:r>
          <a:endParaRPr lang="th-TH" sz="1000" b="1">
            <a:solidFill>
              <a:srgbClr val="FFFFFF"/>
            </a:solidFill>
          </a:endParaRPr>
        </a:p>
      </xdr:txBody>
    </xdr:sp>
    <xdr:clientData/>
  </xdr:twoCellAnchor>
  <xdr:twoCellAnchor>
    <xdr:from>
      <xdr:col>6</xdr:col>
      <xdr:colOff>2152403</xdr:colOff>
      <xdr:row>27</xdr:row>
      <xdr:rowOff>2390</xdr:rowOff>
    </xdr:from>
    <xdr:to>
      <xdr:col>9</xdr:col>
      <xdr:colOff>540987</xdr:colOff>
      <xdr:row>28</xdr:row>
      <xdr:rowOff>49727</xdr:rowOff>
    </xdr:to>
    <xdr:sp macro="[0]!CreateSummaryFromTemplate" textlink="">
      <xdr:nvSpPr>
        <xdr:cNvPr id="78" name="Rectangle: Rounded Corners 77">
          <a:extLst>
            <a:ext uri="{FF2B5EF4-FFF2-40B4-BE49-F238E27FC236}">
              <a16:creationId xmlns:a16="http://schemas.microsoft.com/office/drawing/2014/main" id="{00000000-0008-0000-1400-00004E000000}"/>
            </a:ext>
          </a:extLst>
        </xdr:cNvPr>
        <xdr:cNvSpPr/>
      </xdr:nvSpPr>
      <xdr:spPr>
        <a:xfrm>
          <a:off x="10655630" y="8453663"/>
          <a:ext cx="4138221" cy="359064"/>
        </a:xfrm>
        <a:prstGeom prst="roundRect">
          <a:avLst/>
        </a:prstGeom>
        <a:solidFill>
          <a:srgbClr val="C8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สรุปค่าใช้จ่าย</a:t>
          </a:r>
        </a:p>
        <a:p>
          <a:pPr algn="l"/>
          <a:endParaRPr lang="th-TH" sz="1000" b="1">
            <a:solidFill>
              <a:srgbClr val="FFFFFF"/>
            </a:solidFill>
          </a:endParaRPr>
        </a:p>
      </xdr:txBody>
    </xdr:sp>
    <xdr:clientData/>
  </xdr:twoCellAnchor>
  <xdr:twoCellAnchor>
    <xdr:from>
      <xdr:col>6</xdr:col>
      <xdr:colOff>2152403</xdr:colOff>
      <xdr:row>28</xdr:row>
      <xdr:rowOff>189097</xdr:rowOff>
    </xdr:from>
    <xdr:to>
      <xdr:col>9</xdr:col>
      <xdr:colOff>540987</xdr:colOff>
      <xdr:row>29</xdr:row>
      <xdr:rowOff>201797</xdr:rowOff>
    </xdr:to>
    <xdr:sp macro="[0]!ExportPDF_BySheet" textlink="">
      <xdr:nvSpPr>
        <xdr:cNvPr id="79" name="Rectangle: Rounded Corners 78">
          <a:extLst>
            <a:ext uri="{FF2B5EF4-FFF2-40B4-BE49-F238E27FC236}">
              <a16:creationId xmlns:a16="http://schemas.microsoft.com/office/drawing/2014/main" id="{00000000-0008-0000-1400-00004F000000}"/>
            </a:ext>
          </a:extLst>
        </xdr:cNvPr>
        <xdr:cNvSpPr/>
      </xdr:nvSpPr>
      <xdr:spPr>
        <a:xfrm>
          <a:off x="10655630" y="8952097"/>
          <a:ext cx="4138221" cy="324427"/>
        </a:xfrm>
        <a:prstGeom prst="roundRect">
          <a:avLst/>
        </a:prstGeom>
        <a:solidFill>
          <a:srgbClr val="C8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PDF</a:t>
          </a:r>
          <a:endParaRPr lang="th-TH" sz="1000" b="1">
            <a:solidFill>
              <a:srgbClr val="FFFFFF"/>
            </a:solidFill>
          </a:endParaRPr>
        </a:p>
      </xdr:txBody>
    </xdr:sp>
    <xdr:clientData/>
  </xdr:twoCellAnchor>
  <xdr:twoCellAnchor>
    <xdr:from>
      <xdr:col>10</xdr:col>
      <xdr:colOff>150916</xdr:colOff>
      <xdr:row>25</xdr:row>
      <xdr:rowOff>174419</xdr:rowOff>
    </xdr:from>
    <xdr:to>
      <xdr:col>11</xdr:col>
      <xdr:colOff>1794082</xdr:colOff>
      <xdr:row>26</xdr:row>
      <xdr:rowOff>187118</xdr:rowOff>
    </xdr:to>
    <xdr:sp macro="[0]!TPL_Button_SelectWordFile" textlink="">
      <xdr:nvSpPr>
        <xdr:cNvPr id="25" name="Rectangle: Rounded Corners 24">
          <a:extLst>
            <a:ext uri="{FF2B5EF4-FFF2-40B4-BE49-F238E27FC236}">
              <a16:creationId xmlns:a16="http://schemas.microsoft.com/office/drawing/2014/main" id="{00000000-0008-0000-1400-000019000000}"/>
            </a:ext>
          </a:extLst>
        </xdr:cNvPr>
        <xdr:cNvSpPr/>
      </xdr:nvSpPr>
      <xdr:spPr>
        <a:xfrm>
          <a:off x="15165780" y="8002237"/>
          <a:ext cx="2543711" cy="324426"/>
        </a:xfrm>
        <a:prstGeom prst="roundRect">
          <a:avLst/>
        </a:prstGeom>
        <a:solidFill>
          <a:srgbClr val="00AA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เลือก</a:t>
          </a:r>
          <a:r>
            <a:rPr lang="th-TH" sz="1000" b="1" baseline="0">
              <a:solidFill>
                <a:srgbClr val="FFFFFF"/>
              </a:solidFill>
            </a:rPr>
            <a:t> </a:t>
          </a:r>
          <a:r>
            <a:rPr lang="en-US" sz="1000" b="1" baseline="0">
              <a:solidFill>
                <a:srgbClr val="FFFFFF"/>
              </a:solidFill>
            </a:rPr>
            <a:t>Template</a:t>
          </a:r>
        </a:p>
        <a:p>
          <a:pPr algn="l"/>
          <a:endParaRPr lang="th-TH" sz="1000" b="1">
            <a:solidFill>
              <a:srgbClr val="FFFFFF"/>
            </a:solidFill>
          </a:endParaRPr>
        </a:p>
      </xdr:txBody>
    </xdr:sp>
    <xdr:clientData/>
  </xdr:twoCellAnchor>
  <xdr:twoCellAnchor>
    <xdr:from>
      <xdr:col>10</xdr:col>
      <xdr:colOff>150916</xdr:colOff>
      <xdr:row>27</xdr:row>
      <xdr:rowOff>2390</xdr:rowOff>
    </xdr:from>
    <xdr:to>
      <xdr:col>11</xdr:col>
      <xdr:colOff>1794082</xdr:colOff>
      <xdr:row>28</xdr:row>
      <xdr:rowOff>49727</xdr:rowOff>
    </xdr:to>
    <xdr:sp macro="[0]!TPL_Button_Table_FindOrEmbedded" textlink="">
      <xdr:nvSpPr>
        <xdr:cNvPr id="26" name="Rectangle: Rounded Corners 25">
          <a:extLst>
            <a:ext uri="{FF2B5EF4-FFF2-40B4-BE49-F238E27FC236}">
              <a16:creationId xmlns:a16="http://schemas.microsoft.com/office/drawing/2014/main" id="{00000000-0008-0000-1400-00001A000000}"/>
            </a:ext>
          </a:extLst>
        </xdr:cNvPr>
        <xdr:cNvSpPr/>
      </xdr:nvSpPr>
      <xdr:spPr>
        <a:xfrm>
          <a:off x="15165780" y="8453663"/>
          <a:ext cx="2543711" cy="359064"/>
        </a:xfrm>
        <a:prstGeom prst="roundRect">
          <a:avLst/>
        </a:prstGeom>
        <a:solidFill>
          <a:srgbClr val="C8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แทนที่ตาราง</a:t>
          </a:r>
        </a:p>
        <a:p>
          <a:pPr algn="l"/>
          <a:endParaRPr lang="th-TH" sz="1000" b="1">
            <a:solidFill>
              <a:srgbClr val="FFFFFF"/>
            </a:solidFill>
          </a:endParaRPr>
        </a:p>
      </xdr:txBody>
    </xdr:sp>
    <xdr:clientData/>
  </xdr:twoCellAnchor>
  <xdr:twoCellAnchor>
    <xdr:from>
      <xdr:col>10</xdr:col>
      <xdr:colOff>150916</xdr:colOff>
      <xdr:row>28</xdr:row>
      <xdr:rowOff>189097</xdr:rowOff>
    </xdr:from>
    <xdr:to>
      <xdr:col>11</xdr:col>
      <xdr:colOff>1794082</xdr:colOff>
      <xdr:row>29</xdr:row>
      <xdr:rowOff>201797</xdr:rowOff>
    </xdr:to>
    <xdr:sp macro="[0]!TPL_Button_Text_FindOrEmbedded" textlink="">
      <xdr:nvSpPr>
        <xdr:cNvPr id="27" name="Rectangle: Rounded Corners 26">
          <a:extLst>
            <a:ext uri="{FF2B5EF4-FFF2-40B4-BE49-F238E27FC236}">
              <a16:creationId xmlns:a16="http://schemas.microsoft.com/office/drawing/2014/main" id="{00000000-0008-0000-1400-00001B000000}"/>
            </a:ext>
          </a:extLst>
        </xdr:cNvPr>
        <xdr:cNvSpPr/>
      </xdr:nvSpPr>
      <xdr:spPr>
        <a:xfrm>
          <a:off x="15165780" y="8952097"/>
          <a:ext cx="2543711" cy="324427"/>
        </a:xfrm>
        <a:prstGeom prst="roundRect">
          <a:avLst/>
        </a:prstGeom>
        <a:solidFill>
          <a:srgbClr val="C8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แทนที่ข้อความ</a:t>
          </a:r>
        </a:p>
      </xdr:txBody>
    </xdr:sp>
    <xdr:clientData/>
  </xdr:twoCellAnchor>
  <xdr:twoCellAnchor>
    <xdr:from>
      <xdr:col>11</xdr:col>
      <xdr:colOff>2315690</xdr:colOff>
      <xdr:row>25</xdr:row>
      <xdr:rowOff>174419</xdr:rowOff>
    </xdr:from>
    <xdr:to>
      <xdr:col>15</xdr:col>
      <xdr:colOff>375229</xdr:colOff>
      <xdr:row>26</xdr:row>
      <xdr:rowOff>187118</xdr:rowOff>
    </xdr:to>
    <xdr:sp macro="[0]!Button_Customer_SelectWordFile" textlink="">
      <xdr:nvSpPr>
        <xdr:cNvPr id="33" name="Rectangle: Rounded Corners 32">
          <a:extLst>
            <a:ext uri="{FF2B5EF4-FFF2-40B4-BE49-F238E27FC236}">
              <a16:creationId xmlns:a16="http://schemas.microsoft.com/office/drawing/2014/main" id="{00000000-0008-0000-1400-000021000000}"/>
            </a:ext>
          </a:extLst>
        </xdr:cNvPr>
        <xdr:cNvSpPr/>
      </xdr:nvSpPr>
      <xdr:spPr>
        <a:xfrm>
          <a:off x="18231099" y="8002237"/>
          <a:ext cx="3428175" cy="324426"/>
        </a:xfrm>
        <a:prstGeom prst="roundRect">
          <a:avLst/>
        </a:prstGeom>
        <a:solidFill>
          <a:srgbClr val="00AA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เลือก</a:t>
          </a:r>
          <a:r>
            <a:rPr lang="th-TH" sz="1000" b="1" baseline="0">
              <a:solidFill>
                <a:srgbClr val="FFFFFF"/>
              </a:solidFill>
            </a:rPr>
            <a:t> </a:t>
          </a:r>
          <a:r>
            <a:rPr lang="en-US" sz="1000" b="1" baseline="0">
              <a:solidFill>
                <a:srgbClr val="FFFFFF"/>
              </a:solidFill>
            </a:rPr>
            <a:t>Template</a:t>
          </a:r>
        </a:p>
        <a:p>
          <a:pPr algn="l"/>
          <a:endParaRPr lang="th-TH" sz="1000" b="1">
            <a:solidFill>
              <a:srgbClr val="FFFFFF"/>
            </a:solidFill>
          </a:endParaRPr>
        </a:p>
      </xdr:txBody>
    </xdr:sp>
    <xdr:clientData/>
  </xdr:twoCellAnchor>
  <xdr:twoCellAnchor>
    <xdr:from>
      <xdr:col>11</xdr:col>
      <xdr:colOff>2350326</xdr:colOff>
      <xdr:row>26</xdr:row>
      <xdr:rowOff>310325</xdr:rowOff>
    </xdr:from>
    <xdr:to>
      <xdr:col>15</xdr:col>
      <xdr:colOff>409865</xdr:colOff>
      <xdr:row>28</xdr:row>
      <xdr:rowOff>11297</xdr:rowOff>
    </xdr:to>
    <xdr:sp macro="[0]!Button_Customer_ReplaceTableOnly" textlink="">
      <xdr:nvSpPr>
        <xdr:cNvPr id="35" name="Rectangle: Rounded Corners 34">
          <a:extLst>
            <a:ext uri="{FF2B5EF4-FFF2-40B4-BE49-F238E27FC236}">
              <a16:creationId xmlns:a16="http://schemas.microsoft.com/office/drawing/2014/main" id="{00000000-0008-0000-1400-000023000000}"/>
            </a:ext>
          </a:extLst>
        </xdr:cNvPr>
        <xdr:cNvSpPr/>
      </xdr:nvSpPr>
      <xdr:spPr>
        <a:xfrm>
          <a:off x="18265735" y="8449870"/>
          <a:ext cx="3428175" cy="324427"/>
        </a:xfrm>
        <a:prstGeom prst="roundRect">
          <a:avLst/>
        </a:prstGeom>
        <a:solidFill>
          <a:srgbClr val="C8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แทนที่ตาราง</a:t>
          </a:r>
        </a:p>
      </xdr:txBody>
    </xdr:sp>
    <xdr:clientData/>
  </xdr:twoCellAnchor>
  <xdr:twoCellAnchor>
    <xdr:from>
      <xdr:col>11</xdr:col>
      <xdr:colOff>2350326</xdr:colOff>
      <xdr:row>28</xdr:row>
      <xdr:rowOff>176727</xdr:rowOff>
    </xdr:from>
    <xdr:to>
      <xdr:col>15</xdr:col>
      <xdr:colOff>409865</xdr:colOff>
      <xdr:row>29</xdr:row>
      <xdr:rowOff>189427</xdr:rowOff>
    </xdr:to>
    <xdr:sp macro="[0]!Button_Customer_ReplaceTextOnly" textlink="">
      <xdr:nvSpPr>
        <xdr:cNvPr id="36" name="Rectangle: Rounded Corners 35">
          <a:extLst>
            <a:ext uri="{FF2B5EF4-FFF2-40B4-BE49-F238E27FC236}">
              <a16:creationId xmlns:a16="http://schemas.microsoft.com/office/drawing/2014/main" id="{00000000-0008-0000-1400-000024000000}"/>
            </a:ext>
          </a:extLst>
        </xdr:cNvPr>
        <xdr:cNvSpPr/>
      </xdr:nvSpPr>
      <xdr:spPr>
        <a:xfrm>
          <a:off x="18265735" y="8939727"/>
          <a:ext cx="3428175" cy="324427"/>
        </a:xfrm>
        <a:prstGeom prst="roundRect">
          <a:avLst/>
        </a:prstGeom>
        <a:solidFill>
          <a:srgbClr val="C80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แทนที่ข้อความ</a:t>
          </a:r>
        </a:p>
      </xdr:txBody>
    </xdr:sp>
    <xdr:clientData/>
  </xdr:twoCellAnchor>
  <xdr:twoCellAnchor>
    <xdr:from>
      <xdr:col>9</xdr:col>
      <xdr:colOff>327809</xdr:colOff>
      <xdr:row>21</xdr:row>
      <xdr:rowOff>215242</xdr:rowOff>
    </xdr:from>
    <xdr:to>
      <xdr:col>11</xdr:col>
      <xdr:colOff>54429</xdr:colOff>
      <xdr:row>23</xdr:row>
      <xdr:rowOff>79169</xdr:rowOff>
    </xdr:to>
    <xdr:sp macro="" textlink="">
      <xdr:nvSpPr>
        <xdr:cNvPr id="4" name="TextBox 3">
          <a:extLst>
            <a:ext uri="{FF2B5EF4-FFF2-40B4-BE49-F238E27FC236}">
              <a16:creationId xmlns:a16="http://schemas.microsoft.com/office/drawing/2014/main" id="{00000000-0008-0000-1400-000004000000}"/>
            </a:ext>
          </a:extLst>
        </xdr:cNvPr>
        <xdr:cNvSpPr txBox="1"/>
      </xdr:nvSpPr>
      <xdr:spPr>
        <a:xfrm>
          <a:off x="14580673" y="6796151"/>
          <a:ext cx="1389165" cy="487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th-TH" sz="2800" b="1">
              <a:latin typeface="TH Sarabun New" panose="020B0500040200020003" pitchFamily="34" charset="-34"/>
              <a:cs typeface="TH Sarabun New" panose="020B0500040200020003" pitchFamily="34" charset="-34"/>
            </a:rPr>
            <a:t>ออก</a:t>
          </a:r>
          <a:r>
            <a:rPr lang="th-TH" sz="2800" b="1" baseline="0">
              <a:latin typeface="TH Sarabun New" panose="020B0500040200020003" pitchFamily="34" charset="-34"/>
              <a:cs typeface="TH Sarabun New" panose="020B0500040200020003" pitchFamily="34" charset="-34"/>
            </a:rPr>
            <a:t>เอกสาร</a:t>
          </a:r>
          <a:endParaRPr lang="th-TH" sz="2800" b="1">
            <a:latin typeface="TH Sarabun New" panose="020B0500040200020003" pitchFamily="34" charset="-34"/>
            <a:cs typeface="TH Sarabun New" panose="020B0500040200020003" pitchFamily="34" charset="-34"/>
          </a:endParaRPr>
        </a:p>
      </xdr:txBody>
    </xdr:sp>
    <xdr:clientData/>
  </xdr:twoCellAnchor>
  <xdr:twoCellAnchor>
    <xdr:from>
      <xdr:col>5</xdr:col>
      <xdr:colOff>739734</xdr:colOff>
      <xdr:row>23</xdr:row>
      <xdr:rowOff>160813</xdr:rowOff>
    </xdr:from>
    <xdr:to>
      <xdr:col>6</xdr:col>
      <xdr:colOff>1757796</xdr:colOff>
      <xdr:row>25</xdr:row>
      <xdr:rowOff>12371</xdr:rowOff>
    </xdr:to>
    <xdr:sp macro="" textlink="">
      <xdr:nvSpPr>
        <xdr:cNvPr id="43" name="TextBox 42">
          <a:extLst>
            <a:ext uri="{FF2B5EF4-FFF2-40B4-BE49-F238E27FC236}">
              <a16:creationId xmlns:a16="http://schemas.microsoft.com/office/drawing/2014/main" id="{00000000-0008-0000-1400-00002B000000}"/>
            </a:ext>
          </a:extLst>
        </xdr:cNvPr>
        <xdr:cNvSpPr txBox="1"/>
      </xdr:nvSpPr>
      <xdr:spPr>
        <a:xfrm>
          <a:off x="8238507" y="7365177"/>
          <a:ext cx="2022516" cy="475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th-TH" sz="2800" b="1">
              <a:latin typeface="TH Sarabun New" panose="020B0500040200020003" pitchFamily="34" charset="-34"/>
              <a:cs typeface="TH Sarabun New" panose="020B0500040200020003" pitchFamily="34" charset="-34"/>
            </a:rPr>
            <a:t>ซ่อน/แสดง</a:t>
          </a:r>
          <a:r>
            <a:rPr lang="th-TH" sz="2800" b="1" baseline="0">
              <a:latin typeface="TH Sarabun New" panose="020B0500040200020003" pitchFamily="34" charset="-34"/>
              <a:cs typeface="TH Sarabun New" panose="020B0500040200020003" pitchFamily="34" charset="-34"/>
            </a:rPr>
            <a:t>ไฟล์</a:t>
          </a:r>
          <a:endParaRPr lang="th-TH" sz="2800" b="1">
            <a:latin typeface="TH Sarabun New" panose="020B0500040200020003" pitchFamily="34" charset="-34"/>
            <a:cs typeface="TH Sarabun New" panose="020B0500040200020003" pitchFamily="34" charset="-34"/>
          </a:endParaRPr>
        </a:p>
      </xdr:txBody>
    </xdr:sp>
    <xdr:clientData/>
  </xdr:twoCellAnchor>
  <xdr:twoCellAnchor>
    <xdr:from>
      <xdr:col>6</xdr:col>
      <xdr:colOff>2710296</xdr:colOff>
      <xdr:row>23</xdr:row>
      <xdr:rowOff>174420</xdr:rowOff>
    </xdr:from>
    <xdr:to>
      <xdr:col>8</xdr:col>
      <xdr:colOff>531915</xdr:colOff>
      <xdr:row>25</xdr:row>
      <xdr:rowOff>25978</xdr:rowOff>
    </xdr:to>
    <xdr:sp macro="" textlink="">
      <xdr:nvSpPr>
        <xdr:cNvPr id="44" name="TextBox 43">
          <a:extLst>
            <a:ext uri="{FF2B5EF4-FFF2-40B4-BE49-F238E27FC236}">
              <a16:creationId xmlns:a16="http://schemas.microsoft.com/office/drawing/2014/main" id="{00000000-0008-0000-1400-00002C000000}"/>
            </a:ext>
          </a:extLst>
        </xdr:cNvPr>
        <xdr:cNvSpPr txBox="1"/>
      </xdr:nvSpPr>
      <xdr:spPr>
        <a:xfrm>
          <a:off x="11213523" y="7378784"/>
          <a:ext cx="2739983" cy="475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th-TH" sz="2800" b="1">
              <a:latin typeface="TH Sarabun New" panose="020B0500040200020003" pitchFamily="34" charset="-34"/>
              <a:cs typeface="TH Sarabun New" panose="020B0500040200020003" pitchFamily="34" charset="-34"/>
            </a:rPr>
            <a:t>ค่าใช้จ่าย</a:t>
          </a:r>
        </a:p>
      </xdr:txBody>
    </xdr:sp>
    <xdr:clientData/>
  </xdr:twoCellAnchor>
  <xdr:twoCellAnchor>
    <xdr:from>
      <xdr:col>10</xdr:col>
      <xdr:colOff>397081</xdr:colOff>
      <xdr:row>23</xdr:row>
      <xdr:rowOff>174420</xdr:rowOff>
    </xdr:from>
    <xdr:to>
      <xdr:col>11</xdr:col>
      <xdr:colOff>1689761</xdr:colOff>
      <xdr:row>25</xdr:row>
      <xdr:rowOff>25978</xdr:rowOff>
    </xdr:to>
    <xdr:sp macro="" textlink="">
      <xdr:nvSpPr>
        <xdr:cNvPr id="45" name="TextBox 44">
          <a:extLst>
            <a:ext uri="{FF2B5EF4-FFF2-40B4-BE49-F238E27FC236}">
              <a16:creationId xmlns:a16="http://schemas.microsoft.com/office/drawing/2014/main" id="{00000000-0008-0000-1400-00002D000000}"/>
            </a:ext>
          </a:extLst>
        </xdr:cNvPr>
        <xdr:cNvSpPr txBox="1"/>
      </xdr:nvSpPr>
      <xdr:spPr>
        <a:xfrm>
          <a:off x="15411945" y="7378784"/>
          <a:ext cx="2193225" cy="475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th-TH" sz="2800" b="1">
              <a:latin typeface="TH Sarabun New" panose="020B0500040200020003" pitchFamily="34" charset="-34"/>
              <a:cs typeface="TH Sarabun New" panose="020B0500040200020003" pitchFamily="34" charset="-34"/>
            </a:rPr>
            <a:t>ออกเอก</a:t>
          </a:r>
          <a:r>
            <a:rPr lang="th-TH" sz="2800" b="1" baseline="0">
              <a:latin typeface="TH Sarabun New" panose="020B0500040200020003" pitchFamily="34" charset="-34"/>
              <a:cs typeface="TH Sarabun New" panose="020B0500040200020003" pitchFamily="34" charset="-34"/>
            </a:rPr>
            <a:t>สาร อนุมัติ</a:t>
          </a:r>
          <a:endParaRPr lang="th-TH" sz="2800" b="1">
            <a:latin typeface="TH Sarabun New" panose="020B0500040200020003" pitchFamily="34" charset="-34"/>
            <a:cs typeface="TH Sarabun New" panose="020B0500040200020003" pitchFamily="34" charset="-34"/>
          </a:endParaRPr>
        </a:p>
      </xdr:txBody>
    </xdr:sp>
    <xdr:clientData/>
  </xdr:twoCellAnchor>
  <xdr:twoCellAnchor>
    <xdr:from>
      <xdr:col>11</xdr:col>
      <xdr:colOff>2465367</xdr:colOff>
      <xdr:row>23</xdr:row>
      <xdr:rowOff>147205</xdr:rowOff>
    </xdr:from>
    <xdr:to>
      <xdr:col>15</xdr:col>
      <xdr:colOff>175657</xdr:colOff>
      <xdr:row>24</xdr:row>
      <xdr:rowOff>310490</xdr:rowOff>
    </xdr:to>
    <xdr:sp macro="" textlink="">
      <xdr:nvSpPr>
        <xdr:cNvPr id="46" name="TextBox 45">
          <a:extLst>
            <a:ext uri="{FF2B5EF4-FFF2-40B4-BE49-F238E27FC236}">
              <a16:creationId xmlns:a16="http://schemas.microsoft.com/office/drawing/2014/main" id="{00000000-0008-0000-1400-00002E000000}"/>
            </a:ext>
          </a:extLst>
        </xdr:cNvPr>
        <xdr:cNvSpPr txBox="1"/>
      </xdr:nvSpPr>
      <xdr:spPr>
        <a:xfrm>
          <a:off x="18380776" y="7351569"/>
          <a:ext cx="3078926" cy="475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th-TH" sz="2800" b="1">
              <a:latin typeface="TH Sarabun New" panose="020B0500040200020003" pitchFamily="34" charset="-34"/>
              <a:cs typeface="TH Sarabun New" panose="020B0500040200020003" pitchFamily="34" charset="-34"/>
            </a:rPr>
            <a:t>ออกเอก</a:t>
          </a:r>
          <a:r>
            <a:rPr lang="th-TH" sz="2800" b="1" baseline="0">
              <a:latin typeface="TH Sarabun New" panose="020B0500040200020003" pitchFamily="34" charset="-34"/>
              <a:cs typeface="TH Sarabun New" panose="020B0500040200020003" pitchFamily="34" charset="-34"/>
            </a:rPr>
            <a:t>สาร มท</a:t>
          </a:r>
          <a:endParaRPr lang="th-TH" sz="2800" b="1">
            <a:latin typeface="TH Sarabun New" panose="020B0500040200020003" pitchFamily="34" charset="-34"/>
            <a:cs typeface="TH Sarabun New" panose="020B0500040200020003" pitchFamily="34" charset="-34"/>
          </a:endParaRPr>
        </a:p>
      </xdr:txBody>
    </xdr:sp>
    <xdr:clientData/>
  </xdr:twoCellAnchor>
  <xdr:twoCellAnchor>
    <xdr:from>
      <xdr:col>8</xdr:col>
      <xdr:colOff>164522</xdr:colOff>
      <xdr:row>33</xdr:row>
      <xdr:rowOff>209056</xdr:rowOff>
    </xdr:from>
    <xdr:to>
      <xdr:col>11</xdr:col>
      <xdr:colOff>1047750</xdr:colOff>
      <xdr:row>39</xdr:row>
      <xdr:rowOff>168233</xdr:rowOff>
    </xdr:to>
    <xdr:sp macro="" textlink="">
      <xdr:nvSpPr>
        <xdr:cNvPr id="47" name="อนุมัติ">
          <a:extLst>
            <a:ext uri="{FF2B5EF4-FFF2-40B4-BE49-F238E27FC236}">
              <a16:creationId xmlns:a16="http://schemas.microsoft.com/office/drawing/2014/main" id="{00000000-0008-0000-1400-00002F000000}"/>
            </a:ext>
          </a:extLst>
        </xdr:cNvPr>
        <xdr:cNvSpPr txBox="1"/>
      </xdr:nvSpPr>
      <xdr:spPr>
        <a:xfrm>
          <a:off x="13586113" y="10530692"/>
          <a:ext cx="3377046" cy="1829541"/>
        </a:xfrm>
        <a:prstGeom prst="rect">
          <a:avLst/>
        </a:prstGeom>
        <a:solidFill>
          <a:schemeClr val="bg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th-TH" sz="1600" b="1">
              <a:latin typeface="TH Sarabun New" panose="020B0500040200020003" pitchFamily="34" charset="-34"/>
              <a:cs typeface="TH Sarabun New" panose="020B0500040200020003" pitchFamily="34" charset="-34"/>
            </a:rPr>
            <a:t>เอกสารอนุมัติ_ลูกค้าดำเนินการเอง.</a:t>
          </a:r>
          <a:r>
            <a:rPr lang="en-US" sz="1600" b="1">
              <a:latin typeface="TH Sarabun New" panose="020B0500040200020003" pitchFamily="34" charset="-34"/>
              <a:cs typeface="TH Sarabun New" panose="020B0500040200020003" pitchFamily="34" charset="-34"/>
            </a:rPr>
            <a:t>docx</a:t>
          </a:r>
          <a:endParaRPr lang="th-TH" sz="1600" b="1">
            <a:latin typeface="TH Sarabun New" panose="020B0500040200020003" pitchFamily="34" charset="-34"/>
            <a:cs typeface="TH Sarabun New" panose="020B0500040200020003" pitchFamily="34" charset="-34"/>
          </a:endParaRPr>
        </a:p>
      </xdr:txBody>
    </xdr:sp>
    <xdr:clientData/>
  </xdr:twoCellAnchor>
  <xdr:twoCellAnchor>
    <xdr:from>
      <xdr:col>11</xdr:col>
      <xdr:colOff>1145475</xdr:colOff>
      <xdr:row>33</xdr:row>
      <xdr:rowOff>209056</xdr:rowOff>
    </xdr:from>
    <xdr:to>
      <xdr:col>15</xdr:col>
      <xdr:colOff>284515</xdr:colOff>
      <xdr:row>39</xdr:row>
      <xdr:rowOff>181840</xdr:rowOff>
    </xdr:to>
    <xdr:sp macro="" textlink="">
      <xdr:nvSpPr>
        <xdr:cNvPr id="48" name="มท">
          <a:extLst>
            <a:ext uri="{FF2B5EF4-FFF2-40B4-BE49-F238E27FC236}">
              <a16:creationId xmlns:a16="http://schemas.microsoft.com/office/drawing/2014/main" id="{00000000-0008-0000-1400-000030000000}"/>
            </a:ext>
          </a:extLst>
        </xdr:cNvPr>
        <xdr:cNvSpPr txBox="1"/>
      </xdr:nvSpPr>
      <xdr:spPr>
        <a:xfrm>
          <a:off x="17060884" y="10530692"/>
          <a:ext cx="4507676" cy="1843148"/>
        </a:xfrm>
        <a:prstGeom prst="rect">
          <a:avLst/>
        </a:prstGeom>
        <a:solidFill>
          <a:schemeClr val="bg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th-TH" sz="1600" b="1">
              <a:latin typeface="TH Sarabun New" panose="020B0500040200020003" pitchFamily="34" charset="-34"/>
              <a:cs typeface="TH Sarabun New" panose="020B0500040200020003" pitchFamily="34" charset="-34"/>
            </a:rPr>
            <a:t>เอกสาร มท ลูกค้าจัดหาหม้อแปลงเอง.</a:t>
          </a:r>
          <a:r>
            <a:rPr lang="en-US" sz="1600" b="1">
              <a:latin typeface="TH Sarabun New" panose="020B0500040200020003" pitchFamily="34" charset="-34"/>
              <a:cs typeface="TH Sarabun New" panose="020B0500040200020003" pitchFamily="34" charset="-34"/>
            </a:rPr>
            <a:t>docx</a:t>
          </a:r>
          <a:endParaRPr lang="th-TH" sz="1600" b="1">
            <a:latin typeface="TH Sarabun New" panose="020B0500040200020003" pitchFamily="34" charset="-34"/>
            <a:cs typeface="TH Sarabun New" panose="020B0500040200020003" pitchFamily="34" charset="-34"/>
          </a:endParaRPr>
        </a:p>
      </xdr:txBody>
    </xdr:sp>
    <xdr:clientData/>
  </xdr:twoCellAnchor>
  <xdr:twoCellAnchor>
    <xdr:from>
      <xdr:col>8</xdr:col>
      <xdr:colOff>178131</xdr:colOff>
      <xdr:row>31</xdr:row>
      <xdr:rowOff>141020</xdr:rowOff>
    </xdr:from>
    <xdr:to>
      <xdr:col>15</xdr:col>
      <xdr:colOff>338943</xdr:colOff>
      <xdr:row>32</xdr:row>
      <xdr:rowOff>141019</xdr:rowOff>
    </xdr:to>
    <xdr:sp macro="[0]!LoadWordFileNamesToActiveSheet" textlink="">
      <xdr:nvSpPr>
        <xdr:cNvPr id="2" name="Rectangle: Rounded Corners 1">
          <a:extLst>
            <a:ext uri="{FF2B5EF4-FFF2-40B4-BE49-F238E27FC236}">
              <a16:creationId xmlns:a16="http://schemas.microsoft.com/office/drawing/2014/main" id="{00000000-0008-0000-1400-000002000000}"/>
            </a:ext>
          </a:extLst>
        </xdr:cNvPr>
        <xdr:cNvSpPr/>
      </xdr:nvSpPr>
      <xdr:spPr>
        <a:xfrm>
          <a:off x="13599722" y="9839202"/>
          <a:ext cx="8023266" cy="311726"/>
        </a:xfrm>
        <a:prstGeom prst="round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th-TH" sz="1100"/>
            <a:t>ดึง</a:t>
          </a:r>
          <a:r>
            <a:rPr lang="th-TH" sz="1100" baseline="0"/>
            <a:t>รายชื่อไฟล์</a:t>
          </a:r>
          <a:endParaRPr lang="th-TH" sz="1100"/>
        </a:p>
      </xdr:txBody>
    </xdr:sp>
    <xdr:clientData/>
  </xdr:twoCellAnchor>
  <xdr:twoCellAnchor>
    <xdr:from>
      <xdr:col>8</xdr:col>
      <xdr:colOff>178131</xdr:colOff>
      <xdr:row>32</xdr:row>
      <xdr:rowOff>195449</xdr:rowOff>
    </xdr:from>
    <xdr:to>
      <xdr:col>11</xdr:col>
      <xdr:colOff>1091046</xdr:colOff>
      <xdr:row>33</xdr:row>
      <xdr:rowOff>127412</xdr:rowOff>
    </xdr:to>
    <xdr:sp macro="" textlink="">
      <xdr:nvSpPr>
        <xdr:cNvPr id="29" name="Rectangle: Rounded Corners 28">
          <a:extLst>
            <a:ext uri="{FF2B5EF4-FFF2-40B4-BE49-F238E27FC236}">
              <a16:creationId xmlns:a16="http://schemas.microsoft.com/office/drawing/2014/main" id="{00000000-0008-0000-1400-00001D000000}"/>
            </a:ext>
          </a:extLst>
        </xdr:cNvPr>
        <xdr:cNvSpPr/>
      </xdr:nvSpPr>
      <xdr:spPr>
        <a:xfrm>
          <a:off x="13599722" y="10205358"/>
          <a:ext cx="3406733" cy="243690"/>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th-TH" sz="1100"/>
            <a:t>หาชื่อไฟล์</a:t>
          </a:r>
          <a:r>
            <a:rPr lang="th-TH" sz="1100" baseline="0"/>
            <a:t>จากคำว่า อนุมัติ</a:t>
          </a:r>
          <a:endParaRPr lang="th-TH" sz="1100"/>
        </a:p>
      </xdr:txBody>
    </xdr:sp>
    <xdr:clientData/>
  </xdr:twoCellAnchor>
  <xdr:twoCellAnchor>
    <xdr:from>
      <xdr:col>11</xdr:col>
      <xdr:colOff>1172689</xdr:colOff>
      <xdr:row>32</xdr:row>
      <xdr:rowOff>195449</xdr:rowOff>
    </xdr:from>
    <xdr:to>
      <xdr:col>15</xdr:col>
      <xdr:colOff>311728</xdr:colOff>
      <xdr:row>33</xdr:row>
      <xdr:rowOff>141020</xdr:rowOff>
    </xdr:to>
    <xdr:sp macro="" textlink="">
      <xdr:nvSpPr>
        <xdr:cNvPr id="30" name="Rectangle: Rounded Corners 29">
          <a:extLst>
            <a:ext uri="{FF2B5EF4-FFF2-40B4-BE49-F238E27FC236}">
              <a16:creationId xmlns:a16="http://schemas.microsoft.com/office/drawing/2014/main" id="{00000000-0008-0000-1400-00001E000000}"/>
            </a:ext>
          </a:extLst>
        </xdr:cNvPr>
        <xdr:cNvSpPr/>
      </xdr:nvSpPr>
      <xdr:spPr>
        <a:xfrm>
          <a:off x="17088098" y="10205358"/>
          <a:ext cx="4507675" cy="257298"/>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th-TH" sz="1100"/>
            <a:t>หาชื่อไฟล์</a:t>
          </a:r>
          <a:r>
            <a:rPr lang="th-TH" sz="1100" baseline="0"/>
            <a:t>จากคำว่า มท</a:t>
          </a:r>
          <a:endParaRPr lang="th-TH" sz="1100"/>
        </a:p>
      </xdr:txBody>
    </xdr:sp>
    <xdr:clientData/>
  </xdr:twoCellAnchor>
  <xdr:twoCellAnchor>
    <xdr:from>
      <xdr:col>5</xdr:col>
      <xdr:colOff>358735</xdr:colOff>
      <xdr:row>37</xdr:row>
      <xdr:rowOff>26142</xdr:rowOff>
    </xdr:from>
    <xdr:to>
      <xdr:col>6</xdr:col>
      <xdr:colOff>1889333</xdr:colOff>
      <xdr:row>38</xdr:row>
      <xdr:rowOff>33398</xdr:rowOff>
    </xdr:to>
    <xdr:sp macro="ToggleByShape" textlink="">
      <xdr:nvSpPr>
        <xdr:cNvPr id="31" name="Rectangle: Rounded Corners 30">
          <a:extLst>
            <a:ext uri="{FF2B5EF4-FFF2-40B4-BE49-F238E27FC236}">
              <a16:creationId xmlns:a16="http://schemas.microsoft.com/office/drawing/2014/main" id="{00000000-0008-0000-1400-00001F000000}"/>
            </a:ext>
          </a:extLst>
        </xdr:cNvPr>
        <xdr:cNvSpPr/>
      </xdr:nvSpPr>
      <xdr:spPr>
        <a:xfrm>
          <a:off x="7857508" y="11594687"/>
          <a:ext cx="2535052" cy="318984"/>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ข้อมูลรายการชำระเงิน</a:t>
          </a:r>
        </a:p>
      </xdr:txBody>
    </xdr:sp>
    <xdr:clientData/>
  </xdr:twoCellAnchor>
  <xdr:twoCellAnchor>
    <xdr:from>
      <xdr:col>5</xdr:col>
      <xdr:colOff>324397</xdr:colOff>
      <xdr:row>38</xdr:row>
      <xdr:rowOff>132408</xdr:rowOff>
    </xdr:from>
    <xdr:to>
      <xdr:col>6</xdr:col>
      <xdr:colOff>1865244</xdr:colOff>
      <xdr:row>39</xdr:row>
      <xdr:rowOff>146015</xdr:rowOff>
    </xdr:to>
    <xdr:sp macro="" textlink="">
      <xdr:nvSpPr>
        <xdr:cNvPr id="5" name="Rectangle: Rounded Corners 4">
          <a:extLst>
            <a:ext uri="{FF2B5EF4-FFF2-40B4-BE49-F238E27FC236}">
              <a16:creationId xmlns:a16="http://schemas.microsoft.com/office/drawing/2014/main" id="{00000000-0008-0000-1400-000005000000}"/>
            </a:ext>
          </a:extLst>
        </xdr:cNvPr>
        <xdr:cNvSpPr/>
      </xdr:nvSpPr>
      <xdr:spPr>
        <a:xfrm>
          <a:off x="7823170" y="12012681"/>
          <a:ext cx="2545301" cy="325334"/>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th-TH" sz="1100"/>
            <a:t>กราวด์ทอง</a:t>
          </a:r>
          <a:r>
            <a:rPr lang="th-TH" sz="1100" baseline="0"/>
            <a:t>แดง</a:t>
          </a:r>
        </a:p>
        <a:p>
          <a:pPr algn="ctr"/>
          <a:endParaRPr lang="th-TH" sz="1100"/>
        </a:p>
      </xdr:txBody>
    </xdr:sp>
    <xdr:clientData/>
  </xdr:twoCellAnchor>
  <xdr:twoCellAnchor>
    <xdr:from>
      <xdr:col>5</xdr:col>
      <xdr:colOff>283813</xdr:colOff>
      <xdr:row>39</xdr:row>
      <xdr:rowOff>198532</xdr:rowOff>
    </xdr:from>
    <xdr:to>
      <xdr:col>5</xdr:col>
      <xdr:colOff>962264</xdr:colOff>
      <xdr:row>40</xdr:row>
      <xdr:rowOff>152994</xdr:rowOff>
    </xdr:to>
    <xdr:sp macro="ToggleByShape" textlink="">
      <xdr:nvSpPr>
        <xdr:cNvPr id="7" name="Rectangle: Rounded Corners 6">
          <a:extLst>
            <a:ext uri="{FF2B5EF4-FFF2-40B4-BE49-F238E27FC236}">
              <a16:creationId xmlns:a16="http://schemas.microsoft.com/office/drawing/2014/main" id="{00000000-0008-0000-1400-000007000000}"/>
            </a:ext>
          </a:extLst>
        </xdr:cNvPr>
        <xdr:cNvSpPr/>
      </xdr:nvSpPr>
      <xdr:spPr>
        <a:xfrm>
          <a:off x="7782586" y="12390532"/>
          <a:ext cx="678451" cy="266189"/>
        </a:xfrm>
        <a:prstGeom prst="roundRect">
          <a:avLst/>
        </a:prstGeom>
        <a:solidFill>
          <a:srgbClr val="00AA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 30-160</a:t>
          </a:r>
          <a:endParaRPr lang="th-TH" sz="1000" b="1">
            <a:solidFill>
              <a:srgbClr val="FFFFFF"/>
            </a:solidFill>
          </a:endParaRPr>
        </a:p>
      </xdr:txBody>
    </xdr:sp>
    <xdr:clientData/>
  </xdr:twoCellAnchor>
  <xdr:twoCellAnchor>
    <xdr:from>
      <xdr:col>6</xdr:col>
      <xdr:colOff>65</xdr:colOff>
      <xdr:row>39</xdr:row>
      <xdr:rowOff>206731</xdr:rowOff>
    </xdr:from>
    <xdr:to>
      <xdr:col>6</xdr:col>
      <xdr:colOff>769115</xdr:colOff>
      <xdr:row>40</xdr:row>
      <xdr:rowOff>165275</xdr:rowOff>
    </xdr:to>
    <xdr:sp macro="ToggleByShape" textlink="">
      <xdr:nvSpPr>
        <xdr:cNvPr id="8" name="Rectangle: Rounded Corners 7">
          <a:extLst>
            <a:ext uri="{FF2B5EF4-FFF2-40B4-BE49-F238E27FC236}">
              <a16:creationId xmlns:a16="http://schemas.microsoft.com/office/drawing/2014/main" id="{00000000-0008-0000-1400-000008000000}"/>
            </a:ext>
          </a:extLst>
        </xdr:cNvPr>
        <xdr:cNvSpPr/>
      </xdr:nvSpPr>
      <xdr:spPr>
        <a:xfrm>
          <a:off x="8503292" y="12398731"/>
          <a:ext cx="769050" cy="270271"/>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 250-315</a:t>
          </a:r>
          <a:endParaRPr lang="th-TH" sz="1000" b="1">
            <a:solidFill>
              <a:srgbClr val="FFFFFF"/>
            </a:solidFill>
          </a:endParaRPr>
        </a:p>
      </xdr:txBody>
    </xdr:sp>
    <xdr:clientData/>
  </xdr:twoCellAnchor>
  <xdr:twoCellAnchor>
    <xdr:from>
      <xdr:col>6</xdr:col>
      <xdr:colOff>787527</xdr:colOff>
      <xdr:row>39</xdr:row>
      <xdr:rowOff>199980</xdr:rowOff>
    </xdr:from>
    <xdr:to>
      <xdr:col>6</xdr:col>
      <xdr:colOff>1307899</xdr:colOff>
      <xdr:row>40</xdr:row>
      <xdr:rowOff>167293</xdr:rowOff>
    </xdr:to>
    <xdr:sp macro="ToggleByShape" textlink="">
      <xdr:nvSpPr>
        <xdr:cNvPr id="9" name="Rectangle: Rounded Corners 8">
          <a:extLst>
            <a:ext uri="{FF2B5EF4-FFF2-40B4-BE49-F238E27FC236}">
              <a16:creationId xmlns:a16="http://schemas.microsoft.com/office/drawing/2014/main" id="{00000000-0008-0000-1400-000009000000}"/>
            </a:ext>
          </a:extLst>
        </xdr:cNvPr>
        <xdr:cNvSpPr/>
      </xdr:nvSpPr>
      <xdr:spPr>
        <a:xfrm>
          <a:off x="9290754" y="12391980"/>
          <a:ext cx="520372" cy="279040"/>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 400</a:t>
          </a:r>
          <a:endParaRPr lang="th-TH" sz="1000" b="1">
            <a:solidFill>
              <a:srgbClr val="FFFFFF"/>
            </a:solidFill>
          </a:endParaRPr>
        </a:p>
      </xdr:txBody>
    </xdr:sp>
    <xdr:clientData/>
  </xdr:twoCellAnchor>
  <xdr:twoCellAnchor>
    <xdr:from>
      <xdr:col>6</xdr:col>
      <xdr:colOff>1328288</xdr:colOff>
      <xdr:row>39</xdr:row>
      <xdr:rowOff>205694</xdr:rowOff>
    </xdr:from>
    <xdr:to>
      <xdr:col>6</xdr:col>
      <xdr:colOff>1904649</xdr:colOff>
      <xdr:row>40</xdr:row>
      <xdr:rowOff>173228</xdr:rowOff>
    </xdr:to>
    <xdr:sp macro="ToggleByShape" textlink="">
      <xdr:nvSpPr>
        <xdr:cNvPr id="10" name="Rectangle: Rounded Corners 9">
          <a:extLst>
            <a:ext uri="{FF2B5EF4-FFF2-40B4-BE49-F238E27FC236}">
              <a16:creationId xmlns:a16="http://schemas.microsoft.com/office/drawing/2014/main" id="{00000000-0008-0000-1400-00000A000000}"/>
            </a:ext>
          </a:extLst>
        </xdr:cNvPr>
        <xdr:cNvSpPr/>
      </xdr:nvSpPr>
      <xdr:spPr>
        <a:xfrm>
          <a:off x="9831515" y="12397694"/>
          <a:ext cx="576361" cy="279261"/>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 &gt;500</a:t>
          </a:r>
          <a:endParaRPr lang="th-TH" sz="1000" b="1">
            <a:solidFill>
              <a:srgbClr val="FFFFFF"/>
            </a:solidFill>
          </a:endParaRPr>
        </a:p>
      </xdr:txBody>
    </xdr:sp>
    <xdr:clientData/>
  </xdr:twoCellAnchor>
  <xdr:twoCellAnchor>
    <xdr:from>
      <xdr:col>5</xdr:col>
      <xdr:colOff>222663</xdr:colOff>
      <xdr:row>38</xdr:row>
      <xdr:rowOff>70411</xdr:rowOff>
    </xdr:from>
    <xdr:to>
      <xdr:col>6</xdr:col>
      <xdr:colOff>2018238</xdr:colOff>
      <xdr:row>40</xdr:row>
      <xdr:rowOff>263485</xdr:rowOff>
    </xdr:to>
    <xdr:sp macro="" textlink="">
      <xdr:nvSpPr>
        <xdr:cNvPr id="11" name="Rectangle: Rounded Corners 10">
          <a:extLst>
            <a:ext uri="{FF2B5EF4-FFF2-40B4-BE49-F238E27FC236}">
              <a16:creationId xmlns:a16="http://schemas.microsoft.com/office/drawing/2014/main" id="{00000000-0008-0000-1400-00000B000000}"/>
            </a:ext>
          </a:extLst>
        </xdr:cNvPr>
        <xdr:cNvSpPr/>
      </xdr:nvSpPr>
      <xdr:spPr>
        <a:xfrm>
          <a:off x="7721436" y="11950684"/>
          <a:ext cx="2800029" cy="816528"/>
        </a:xfrm>
        <a:prstGeom prst="round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th-TH" sz="1100"/>
        </a:p>
      </xdr:txBody>
    </xdr:sp>
    <xdr:clientData/>
  </xdr:twoCellAnchor>
  <xdr:twoCellAnchor>
    <xdr:from>
      <xdr:col>5</xdr:col>
      <xdr:colOff>309429</xdr:colOff>
      <xdr:row>45</xdr:row>
      <xdr:rowOff>120475</xdr:rowOff>
    </xdr:from>
    <xdr:to>
      <xdr:col>6</xdr:col>
      <xdr:colOff>1840027</xdr:colOff>
      <xdr:row>46</xdr:row>
      <xdr:rowOff>127731</xdr:rowOff>
    </xdr:to>
    <xdr:sp macro="ToggleByShape" textlink="">
      <xdr:nvSpPr>
        <xdr:cNvPr id="38" name="Rectangle: Rounded Corners 37">
          <a:extLst>
            <a:ext uri="{FF2B5EF4-FFF2-40B4-BE49-F238E27FC236}">
              <a16:creationId xmlns:a16="http://schemas.microsoft.com/office/drawing/2014/main" id="{00000000-0008-0000-1400-000026000000}"/>
            </a:ext>
          </a:extLst>
        </xdr:cNvPr>
        <xdr:cNvSpPr/>
      </xdr:nvSpPr>
      <xdr:spPr>
        <a:xfrm>
          <a:off x="7808202" y="14182839"/>
          <a:ext cx="2535052" cy="318983"/>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Turnkey</a:t>
          </a:r>
          <a:endParaRPr lang="th-TH" sz="1000" b="1">
            <a:solidFill>
              <a:srgbClr val="FFFFFF"/>
            </a:solidFill>
          </a:endParaRPr>
        </a:p>
      </xdr:txBody>
    </xdr:sp>
    <xdr:clientData/>
  </xdr:twoCellAnchor>
  <xdr:twoCellAnchor>
    <xdr:from>
      <xdr:col>5</xdr:col>
      <xdr:colOff>324397</xdr:colOff>
      <xdr:row>41</xdr:row>
      <xdr:rowOff>98790</xdr:rowOff>
    </xdr:from>
    <xdr:to>
      <xdr:col>6</xdr:col>
      <xdr:colOff>1865244</xdr:colOff>
      <xdr:row>42</xdr:row>
      <xdr:rowOff>112397</xdr:rowOff>
    </xdr:to>
    <xdr:sp macro="" textlink="">
      <xdr:nvSpPr>
        <xdr:cNvPr id="51" name="Rectangle: Rounded Corners 50">
          <a:extLst>
            <a:ext uri="{FF2B5EF4-FFF2-40B4-BE49-F238E27FC236}">
              <a16:creationId xmlns:a16="http://schemas.microsoft.com/office/drawing/2014/main" id="{00000000-0008-0000-1400-000033000000}"/>
            </a:ext>
          </a:extLst>
        </xdr:cNvPr>
        <xdr:cNvSpPr/>
      </xdr:nvSpPr>
      <xdr:spPr>
        <a:xfrm>
          <a:off x="7823170" y="12914245"/>
          <a:ext cx="2545301" cy="325334"/>
        </a:xfrm>
        <a:prstGeom prst="roundRect">
          <a:avLst/>
        </a:prstGeom>
        <a:solidFill>
          <a:srgbClr val="00206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th-TH" sz="1100"/>
            <a:t>กราวด์ทอง</a:t>
          </a:r>
          <a:r>
            <a:rPr lang="th-TH" sz="1100" baseline="0"/>
            <a:t>แดง ชุดสาย </a:t>
          </a:r>
          <a:r>
            <a:rPr lang="en-US" sz="1100" baseline="0"/>
            <a:t>wiring</a:t>
          </a:r>
          <a:endParaRPr lang="th-TH" sz="1100" baseline="0"/>
        </a:p>
        <a:p>
          <a:pPr algn="ctr"/>
          <a:endParaRPr lang="th-TH" sz="1100"/>
        </a:p>
      </xdr:txBody>
    </xdr:sp>
    <xdr:clientData/>
  </xdr:twoCellAnchor>
  <xdr:twoCellAnchor>
    <xdr:from>
      <xdr:col>5</xdr:col>
      <xdr:colOff>283813</xdr:colOff>
      <xdr:row>42</xdr:row>
      <xdr:rowOff>164914</xdr:rowOff>
    </xdr:from>
    <xdr:to>
      <xdr:col>5</xdr:col>
      <xdr:colOff>962264</xdr:colOff>
      <xdr:row>43</xdr:row>
      <xdr:rowOff>119377</xdr:rowOff>
    </xdr:to>
    <xdr:sp macro="ToggleByShape" textlink="">
      <xdr:nvSpPr>
        <xdr:cNvPr id="52" name="Rectangle: Rounded Corners 51">
          <a:extLst>
            <a:ext uri="{FF2B5EF4-FFF2-40B4-BE49-F238E27FC236}">
              <a16:creationId xmlns:a16="http://schemas.microsoft.com/office/drawing/2014/main" id="{00000000-0008-0000-1400-000034000000}"/>
            </a:ext>
          </a:extLst>
        </xdr:cNvPr>
        <xdr:cNvSpPr/>
      </xdr:nvSpPr>
      <xdr:spPr>
        <a:xfrm>
          <a:off x="7782586" y="13292096"/>
          <a:ext cx="678451" cy="266190"/>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T30-160</a:t>
          </a:r>
          <a:endParaRPr lang="th-TH" sz="1000" b="1">
            <a:solidFill>
              <a:srgbClr val="FFFFFF"/>
            </a:solidFill>
          </a:endParaRPr>
        </a:p>
      </xdr:txBody>
    </xdr:sp>
    <xdr:clientData/>
  </xdr:twoCellAnchor>
  <xdr:twoCellAnchor>
    <xdr:from>
      <xdr:col>6</xdr:col>
      <xdr:colOff>65</xdr:colOff>
      <xdr:row>42</xdr:row>
      <xdr:rowOff>173113</xdr:rowOff>
    </xdr:from>
    <xdr:to>
      <xdr:col>6</xdr:col>
      <xdr:colOff>769115</xdr:colOff>
      <xdr:row>43</xdr:row>
      <xdr:rowOff>131658</xdr:rowOff>
    </xdr:to>
    <xdr:sp macro="ToggleByShape" textlink="">
      <xdr:nvSpPr>
        <xdr:cNvPr id="53" name="Rectangle: Rounded Corners 52">
          <a:extLst>
            <a:ext uri="{FF2B5EF4-FFF2-40B4-BE49-F238E27FC236}">
              <a16:creationId xmlns:a16="http://schemas.microsoft.com/office/drawing/2014/main" id="{00000000-0008-0000-1400-000035000000}"/>
            </a:ext>
          </a:extLst>
        </xdr:cNvPr>
        <xdr:cNvSpPr/>
      </xdr:nvSpPr>
      <xdr:spPr>
        <a:xfrm>
          <a:off x="8503292" y="13300295"/>
          <a:ext cx="769050" cy="270272"/>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T250-315</a:t>
          </a:r>
          <a:endParaRPr lang="th-TH" sz="1000" b="1">
            <a:solidFill>
              <a:srgbClr val="FFFFFF"/>
            </a:solidFill>
          </a:endParaRPr>
        </a:p>
      </xdr:txBody>
    </xdr:sp>
    <xdr:clientData/>
  </xdr:twoCellAnchor>
  <xdr:twoCellAnchor>
    <xdr:from>
      <xdr:col>6</xdr:col>
      <xdr:colOff>787527</xdr:colOff>
      <xdr:row>42</xdr:row>
      <xdr:rowOff>166362</xdr:rowOff>
    </xdr:from>
    <xdr:to>
      <xdr:col>6</xdr:col>
      <xdr:colOff>1307899</xdr:colOff>
      <xdr:row>43</xdr:row>
      <xdr:rowOff>133676</xdr:rowOff>
    </xdr:to>
    <xdr:sp macro="ToggleByShape" textlink="">
      <xdr:nvSpPr>
        <xdr:cNvPr id="54" name="Rectangle: Rounded Corners 53">
          <a:extLst>
            <a:ext uri="{FF2B5EF4-FFF2-40B4-BE49-F238E27FC236}">
              <a16:creationId xmlns:a16="http://schemas.microsoft.com/office/drawing/2014/main" id="{00000000-0008-0000-1400-000036000000}"/>
            </a:ext>
          </a:extLst>
        </xdr:cNvPr>
        <xdr:cNvSpPr/>
      </xdr:nvSpPr>
      <xdr:spPr>
        <a:xfrm>
          <a:off x="9290754" y="13293544"/>
          <a:ext cx="520372" cy="279041"/>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T400</a:t>
          </a:r>
          <a:endParaRPr lang="th-TH" sz="1000" b="1">
            <a:solidFill>
              <a:srgbClr val="FFFFFF"/>
            </a:solidFill>
          </a:endParaRPr>
        </a:p>
      </xdr:txBody>
    </xdr:sp>
    <xdr:clientData/>
  </xdr:twoCellAnchor>
  <xdr:twoCellAnchor>
    <xdr:from>
      <xdr:col>6</xdr:col>
      <xdr:colOff>1328288</xdr:colOff>
      <xdr:row>42</xdr:row>
      <xdr:rowOff>172076</xdr:rowOff>
    </xdr:from>
    <xdr:to>
      <xdr:col>6</xdr:col>
      <xdr:colOff>1904649</xdr:colOff>
      <xdr:row>43</xdr:row>
      <xdr:rowOff>139611</xdr:rowOff>
    </xdr:to>
    <xdr:sp macro="ToggleByShape" textlink="">
      <xdr:nvSpPr>
        <xdr:cNvPr id="55" name="Rectangle: Rounded Corners 54">
          <a:extLst>
            <a:ext uri="{FF2B5EF4-FFF2-40B4-BE49-F238E27FC236}">
              <a16:creationId xmlns:a16="http://schemas.microsoft.com/office/drawing/2014/main" id="{00000000-0008-0000-1400-000037000000}"/>
            </a:ext>
          </a:extLst>
        </xdr:cNvPr>
        <xdr:cNvSpPr/>
      </xdr:nvSpPr>
      <xdr:spPr>
        <a:xfrm>
          <a:off x="9831515" y="13299258"/>
          <a:ext cx="576361" cy="279262"/>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b="1">
              <a:solidFill>
                <a:srgbClr val="FFFFFF"/>
              </a:solidFill>
            </a:rPr>
            <a:t>T&gt;500</a:t>
          </a:r>
          <a:endParaRPr lang="th-TH" sz="1000" b="1">
            <a:solidFill>
              <a:srgbClr val="FFFFFF"/>
            </a:solidFill>
          </a:endParaRPr>
        </a:p>
      </xdr:txBody>
    </xdr:sp>
    <xdr:clientData/>
  </xdr:twoCellAnchor>
  <xdr:twoCellAnchor>
    <xdr:from>
      <xdr:col>5</xdr:col>
      <xdr:colOff>222663</xdr:colOff>
      <xdr:row>41</xdr:row>
      <xdr:rowOff>36793</xdr:rowOff>
    </xdr:from>
    <xdr:to>
      <xdr:col>6</xdr:col>
      <xdr:colOff>2018238</xdr:colOff>
      <xdr:row>43</xdr:row>
      <xdr:rowOff>229868</xdr:rowOff>
    </xdr:to>
    <xdr:sp macro="" textlink="">
      <xdr:nvSpPr>
        <xdr:cNvPr id="56" name="Rectangle: Rounded Corners 55">
          <a:extLst>
            <a:ext uri="{FF2B5EF4-FFF2-40B4-BE49-F238E27FC236}">
              <a16:creationId xmlns:a16="http://schemas.microsoft.com/office/drawing/2014/main" id="{00000000-0008-0000-1400-000038000000}"/>
            </a:ext>
          </a:extLst>
        </xdr:cNvPr>
        <xdr:cNvSpPr/>
      </xdr:nvSpPr>
      <xdr:spPr>
        <a:xfrm>
          <a:off x="7721436" y="12852248"/>
          <a:ext cx="2800029" cy="816529"/>
        </a:xfrm>
        <a:prstGeom prst="round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th-TH" sz="1100"/>
        </a:p>
      </xdr:txBody>
    </xdr:sp>
    <xdr:clientData/>
  </xdr:twoCellAnchor>
  <xdr:twoCellAnchor>
    <xdr:from>
      <xdr:col>5</xdr:col>
      <xdr:colOff>304947</xdr:colOff>
      <xdr:row>43</xdr:row>
      <xdr:rowOff>306493</xdr:rowOff>
    </xdr:from>
    <xdr:to>
      <xdr:col>6</xdr:col>
      <xdr:colOff>1835545</xdr:colOff>
      <xdr:row>45</xdr:row>
      <xdr:rowOff>2022</xdr:rowOff>
    </xdr:to>
    <xdr:sp macro="ToggleByShape" textlink="">
      <xdr:nvSpPr>
        <xdr:cNvPr id="57" name="Rectangle: Rounded Corners 56">
          <a:extLst>
            <a:ext uri="{FF2B5EF4-FFF2-40B4-BE49-F238E27FC236}">
              <a16:creationId xmlns:a16="http://schemas.microsoft.com/office/drawing/2014/main" id="{00000000-0008-0000-1400-000039000000}"/>
            </a:ext>
          </a:extLst>
        </xdr:cNvPr>
        <xdr:cNvSpPr/>
      </xdr:nvSpPr>
      <xdr:spPr>
        <a:xfrm>
          <a:off x="7803720" y="13745402"/>
          <a:ext cx="2535052" cy="318984"/>
        </a:xfrm>
        <a:prstGeom prst="roundRect">
          <a:avLst/>
        </a:prstGeom>
        <a:solidFill>
          <a:srgbClr val="C800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h-TH" sz="1000" b="1">
              <a:solidFill>
                <a:srgbClr val="FFFFFF"/>
              </a:solidFill>
            </a:rPr>
            <a:t>รายการ</a:t>
          </a:r>
          <a:r>
            <a:rPr lang="th-TH" sz="1000" b="1" baseline="0">
              <a:solidFill>
                <a:srgbClr val="FFFFFF"/>
              </a:solidFill>
            </a:rPr>
            <a:t>ชุดกราวด์</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10B306B-4454-4B54-B413-BF47159F4FC5}" name="Table2" displayName="Table2" ref="B2:E8" totalsRowShown="0" dataDxfId="20" tableBorderDxfId="19">
  <autoFilter ref="B2:E8" xr:uid="{C7FAAC10-E214-4524-88D7-59456D992657}"/>
  <tableColumns count="4">
    <tableColumn id="1" xr3:uid="{3B070084-9662-4D96-AE3B-9DF82C92BA9E}" name="Column1" dataDxfId="18"/>
    <tableColumn id="2" xr3:uid="{9F488B4E-FF60-4873-BD9B-FA295D8DD26B}" name="Column2" dataDxfId="17"/>
    <tableColumn id="3" xr3:uid="{124F0207-ADC9-497D-8529-58CAF08EA198}" name="Column3" dataDxfId="16" dataCellStyle="Comma"/>
    <tableColumn id="4" xr3:uid="{97C15A46-90DB-43AF-9119-61D74079015C}" name="Column4"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71EB83-4C98-4E63-B32D-4BA0E0428171}" name="Table3" displayName="Table3" ref="B11:E15" totalsRowShown="0" tableBorderDxfId="14">
  <autoFilter ref="B11:E15" xr:uid="{674A0C3B-39FF-4080-9A02-92C663F68C6B}"/>
  <tableColumns count="4">
    <tableColumn id="1" xr3:uid="{7FE41844-0DA0-4013-9E1E-BCEFACD5D91F}" name="Column1"/>
    <tableColumn id="2" xr3:uid="{A76D1176-5848-48EE-9EE5-81E6642E98A5}" name="Column2"/>
    <tableColumn id="3" xr3:uid="{703D8500-51D4-4D34-BA27-C1A3F7423DC3}" name="Column3"/>
    <tableColumn id="4" xr3:uid="{0CAAC97A-DDB4-46AA-8BE8-776108468390}" name="Column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91CE420-7525-4B73-BE44-9295D648D23A}" name="Table4" displayName="Table4" ref="B20:E20" headerRowCount="0" insertRow="1" totalsRowShown="0" headerRowDxfId="13" dataDxfId="12">
  <tableColumns count="4">
    <tableColumn id="1" xr3:uid="{1A00DCC8-8F36-4B2C-82BD-4872F57208FE}" name="Column1" dataDxfId="11"/>
    <tableColumn id="2" xr3:uid="{B9610AF2-5E90-40E3-92EC-A6AFB111B033}" name="Column2" dataDxfId="10"/>
    <tableColumn id="3" xr3:uid="{3AAEA746-9A98-4937-A246-EB50B2D61E83}" name="Column3" dataDxfId="9"/>
    <tableColumn id="4" xr3:uid="{4EA6E5F2-7015-4E8A-93D4-E63FB7A39EB5}" name="Column4" dataDxfId="8"/>
  </tableColumns>
  <tableStyleInfo name="TableStyleMedium2"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E95715B-0BB8-4BAA-AEE3-2A9EC697006B}" name="Table1" displayName="Table1" ref="A2:C16" headerRowCount="0" totalsRowShown="0" headerRowDxfId="7" dataDxfId="6">
  <tableColumns count="3">
    <tableColumn id="1" xr3:uid="{30350E26-341C-4526-AA40-F92F10F83CBE}" name="Column1" headerRowDxfId="5" dataDxfId="4"/>
    <tableColumn id="2" xr3:uid="{429F9612-21C9-424C-A007-5BD2C304839F}" name="Column2" headerRowDxfId="3" dataDxfId="2"/>
    <tableColumn id="3" xr3:uid="{AF9AC515-C01B-45D6-BBB2-A81706ED3084}" name="Column3" headerRowDxfId="1" dataDxfId="0"/>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9.bin"/><Relationship Id="rId4"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2A7DF9-DCD6-4539-B751-E80ABD36C4D9}">
  <sheetPr codeName="Sheet22">
    <pageSetUpPr fitToPage="1"/>
  </sheetPr>
  <dimension ref="A1:F20"/>
  <sheetViews>
    <sheetView zoomScale="85" zoomScaleNormal="85" workbookViewId="0">
      <selection activeCell="F18" sqref="F18"/>
    </sheetView>
  </sheetViews>
  <sheetFormatPr defaultColWidth="9" defaultRowHeight="28.8" x14ac:dyDescent="0.55000000000000004"/>
  <cols>
    <col min="1" max="1" width="80.59765625" style="133" customWidth="1"/>
    <col min="2" max="2" width="13" style="133" bestFit="1" customWidth="1"/>
    <col min="3" max="3" width="11.3984375" style="133" customWidth="1"/>
    <col min="4" max="4" width="9.69921875" style="133" customWidth="1"/>
    <col min="5" max="5" width="11.09765625" style="133" customWidth="1"/>
    <col min="6" max="16384" width="9" style="133"/>
  </cols>
  <sheetData>
    <row r="1" spans="1:6" x14ac:dyDescent="0.55000000000000004">
      <c r="A1" s="232" t="s">
        <v>243</v>
      </c>
      <c r="B1" s="232"/>
      <c r="C1" s="232"/>
      <c r="D1" s="232"/>
      <c r="E1" s="232"/>
    </row>
    <row r="2" spans="1:6" x14ac:dyDescent="0.55000000000000004">
      <c r="A2" s="233" t="str">
        <f>IF(หน้าหลัก!B2="","","ชื่องาน "&amp;หน้าหลัก!B2&amp;" ")</f>
        <v xml:space="preserve">ชื่องาน แขวงทางหลวงสงขลาที่ 1 หน้าศูนย์กระจายสินค้า (จุดที่ 2) </v>
      </c>
      <c r="B2" s="233"/>
      <c r="C2" s="233" t="str">
        <f>IF(หน้าหลัก!E5 &lt;&gt;"","เลขแผนผัง "&amp;หน้าหลัก!B5&amp;หน้าหลัก!E5,"")</f>
        <v>เลขแผนผัง TF09-0A3/690796</v>
      </c>
      <c r="D2" s="233"/>
      <c r="E2" s="233"/>
      <c r="F2" s="233"/>
    </row>
    <row r="3" spans="1:6" x14ac:dyDescent="0.55000000000000004">
      <c r="A3" s="134" t="s">
        <v>226</v>
      </c>
      <c r="B3" s="134" t="s">
        <v>227</v>
      </c>
      <c r="C3" s="134" t="s">
        <v>228</v>
      </c>
      <c r="D3" s="134" t="s">
        <v>41</v>
      </c>
      <c r="E3" s="134" t="s">
        <v>229</v>
      </c>
      <c r="F3" s="134" t="s">
        <v>230</v>
      </c>
    </row>
    <row r="4" spans="1:6" x14ac:dyDescent="0.55000000000000004">
      <c r="A4" s="135" t="s">
        <v>244</v>
      </c>
      <c r="B4" s="136">
        <v>1</v>
      </c>
      <c r="C4" s="137">
        <v>480</v>
      </c>
      <c r="D4" s="137">
        <f>B4*C4</f>
        <v>480</v>
      </c>
      <c r="E4" s="137">
        <f>D4</f>
        <v>480</v>
      </c>
      <c r="F4" s="138">
        <v>510</v>
      </c>
    </row>
    <row r="5" spans="1:6" x14ac:dyDescent="0.55000000000000004">
      <c r="A5" s="135" t="s">
        <v>245</v>
      </c>
      <c r="B5" s="136">
        <v>20</v>
      </c>
      <c r="C5" s="137">
        <v>365</v>
      </c>
      <c r="D5" s="137">
        <f t="shared" ref="D5:D10" si="0">B5*C5</f>
        <v>7300</v>
      </c>
      <c r="E5" s="137">
        <f t="shared" ref="E5:E10" si="1">D5</f>
        <v>7300</v>
      </c>
      <c r="F5" s="138">
        <v>0</v>
      </c>
    </row>
    <row r="6" spans="1:6" x14ac:dyDescent="0.55000000000000004">
      <c r="A6" s="135" t="s">
        <v>246</v>
      </c>
      <c r="B6" s="136">
        <v>1</v>
      </c>
      <c r="C6" s="137">
        <v>395</v>
      </c>
      <c r="D6" s="137">
        <f t="shared" si="0"/>
        <v>395</v>
      </c>
      <c r="E6" s="137">
        <f t="shared" si="1"/>
        <v>395</v>
      </c>
      <c r="F6" s="138">
        <v>0</v>
      </c>
    </row>
    <row r="7" spans="1:6" x14ac:dyDescent="0.55000000000000004">
      <c r="A7" s="135" t="s">
        <v>247</v>
      </c>
      <c r="B7" s="136">
        <v>3</v>
      </c>
      <c r="C7" s="137">
        <v>55</v>
      </c>
      <c r="D7" s="137">
        <f t="shared" si="0"/>
        <v>165</v>
      </c>
      <c r="E7" s="137">
        <f t="shared" si="1"/>
        <v>165</v>
      </c>
      <c r="F7" s="138">
        <v>0</v>
      </c>
    </row>
    <row r="8" spans="1:6" x14ac:dyDescent="0.55000000000000004">
      <c r="A8" s="135" t="s">
        <v>248</v>
      </c>
      <c r="B8" s="136">
        <v>1</v>
      </c>
      <c r="C8" s="137">
        <v>15</v>
      </c>
      <c r="D8" s="137">
        <f t="shared" si="0"/>
        <v>15</v>
      </c>
      <c r="E8" s="137">
        <f t="shared" si="1"/>
        <v>15</v>
      </c>
      <c r="F8" s="138">
        <v>0</v>
      </c>
    </row>
    <row r="9" spans="1:6" x14ac:dyDescent="0.55000000000000004">
      <c r="A9" s="135" t="s">
        <v>249</v>
      </c>
      <c r="B9" s="136">
        <v>1</v>
      </c>
      <c r="C9" s="137">
        <v>7</v>
      </c>
      <c r="D9" s="137">
        <f t="shared" si="0"/>
        <v>7</v>
      </c>
      <c r="E9" s="137">
        <f t="shared" si="1"/>
        <v>7</v>
      </c>
      <c r="F9" s="138">
        <v>0</v>
      </c>
    </row>
    <row r="10" spans="1:6" ht="30" customHeight="1" x14ac:dyDescent="0.55000000000000004">
      <c r="A10" s="139" t="s">
        <v>250</v>
      </c>
      <c r="B10" s="140">
        <v>1</v>
      </c>
      <c r="C10" s="141">
        <v>250</v>
      </c>
      <c r="D10" s="141">
        <f t="shared" si="0"/>
        <v>250</v>
      </c>
      <c r="E10" s="137">
        <f t="shared" si="1"/>
        <v>250</v>
      </c>
      <c r="F10" s="135">
        <v>90</v>
      </c>
    </row>
    <row r="11" spans="1:6" x14ac:dyDescent="0.55000000000000004">
      <c r="A11" s="234" t="s">
        <v>41</v>
      </c>
      <c r="B11" s="234"/>
      <c r="C11" s="234"/>
      <c r="D11" s="234"/>
      <c r="E11" s="142">
        <f>SUM(E4:E10)</f>
        <v>8612</v>
      </c>
      <c r="F11" s="142">
        <f>SUM(F4:F10)</f>
        <v>600</v>
      </c>
    </row>
    <row r="12" spans="1:6" x14ac:dyDescent="0.55000000000000004">
      <c r="A12" s="234" t="s">
        <v>237</v>
      </c>
      <c r="B12" s="234"/>
      <c r="C12" s="234"/>
      <c r="D12" s="234"/>
      <c r="E12" s="142">
        <f>E11+F11</f>
        <v>9212</v>
      </c>
      <c r="F12" s="142"/>
    </row>
    <row r="13" spans="1:6" x14ac:dyDescent="0.55000000000000004">
      <c r="A13" s="234" t="s">
        <v>238</v>
      </c>
      <c r="B13" s="234"/>
      <c r="C13" s="234"/>
      <c r="D13" s="234"/>
      <c r="E13" s="142">
        <f>E12*7.5%</f>
        <v>690.9</v>
      </c>
      <c r="F13" s="143"/>
    </row>
    <row r="14" spans="1:6" ht="29.4" thickBot="1" x14ac:dyDescent="0.6">
      <c r="A14" s="231" t="s">
        <v>239</v>
      </c>
      <c r="B14" s="231"/>
      <c r="C14" s="231"/>
      <c r="D14" s="231"/>
      <c r="E14" s="144">
        <f>E12+E13</f>
        <v>9902.9</v>
      </c>
      <c r="F14" s="143"/>
    </row>
    <row r="15" spans="1:6" ht="29.4" thickTop="1" x14ac:dyDescent="0.55000000000000004">
      <c r="A15" s="145"/>
      <c r="B15" s="145"/>
      <c r="C15" s="145"/>
      <c r="D15" s="145"/>
      <c r="E15" s="145"/>
    </row>
    <row r="16" spans="1:6" x14ac:dyDescent="0.55000000000000004">
      <c r="A16" s="145"/>
      <c r="B16" s="145"/>
      <c r="C16" s="145"/>
      <c r="D16" s="145"/>
      <c r="E16" s="145"/>
    </row>
    <row r="18" spans="2:4" x14ac:dyDescent="0.55000000000000004">
      <c r="B18" s="157" t="s">
        <v>6</v>
      </c>
      <c r="C18" s="158"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D18" s="158"/>
    </row>
    <row r="19" spans="2:4" x14ac:dyDescent="0.55000000000000004">
      <c r="B19" s="157" t="s">
        <v>5</v>
      </c>
      <c r="C19" s="158"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D19" s="158"/>
    </row>
    <row r="20" spans="2:4" x14ac:dyDescent="0.55000000000000004">
      <c r="B20" s="157" t="s">
        <v>4</v>
      </c>
      <c r="C20" s="158"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D20" s="158"/>
    </row>
  </sheetData>
  <mergeCells count="7">
    <mergeCell ref="A14:D14"/>
    <mergeCell ref="A1:E1"/>
    <mergeCell ref="A2:B2"/>
    <mergeCell ref="C2:F2"/>
    <mergeCell ref="A11:D11"/>
    <mergeCell ref="A12:D12"/>
    <mergeCell ref="A13:D13"/>
  </mergeCells>
  <pageMargins left="0.59055118110236215" right="0.59055118110236215" top="0.59055118110236215" bottom="0.59055118110236215" header="0.59055118110236215" footer="0.59055118110236215"/>
  <pageSetup paperSize="9" scale="62" fitToHeight="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042C9-447D-4E52-9EDC-54429CBD7646}">
  <sheetPr codeName="Sheet23">
    <tabColor rgb="FF00B050"/>
    <pageSetUpPr fitToPage="1"/>
  </sheetPr>
  <dimension ref="A1:F20"/>
  <sheetViews>
    <sheetView zoomScale="85" zoomScaleNormal="85" workbookViewId="0">
      <selection activeCell="A22" sqref="A22"/>
    </sheetView>
  </sheetViews>
  <sheetFormatPr defaultColWidth="9" defaultRowHeight="28.8" x14ac:dyDescent="0.55000000000000004"/>
  <cols>
    <col min="1" max="1" width="65.19921875" style="133" customWidth="1"/>
    <col min="2" max="2" width="11.5" style="133" bestFit="1" customWidth="1"/>
    <col min="3" max="3" width="11.3984375" style="133" customWidth="1"/>
    <col min="4" max="4" width="9.69921875" style="133" customWidth="1"/>
    <col min="5" max="5" width="11.09765625" style="133" customWidth="1"/>
    <col min="6" max="16384" width="9" style="133"/>
  </cols>
  <sheetData>
    <row r="1" spans="1:6" x14ac:dyDescent="0.55000000000000004">
      <c r="A1" s="232" t="s">
        <v>251</v>
      </c>
      <c r="B1" s="232"/>
      <c r="C1" s="232"/>
      <c r="D1" s="232"/>
      <c r="E1" s="232"/>
    </row>
    <row r="2" spans="1:6" x14ac:dyDescent="0.55000000000000004">
      <c r="A2" s="233" t="str">
        <f>IF(หน้าหลัก!B2="","","ชื่องาน "&amp;หน้าหลัก!B2&amp;" ")</f>
        <v xml:space="preserve">ชื่องาน แขวงทางหลวงสงขลาที่ 1 หน้าศูนย์กระจายสินค้า (จุดที่ 2) </v>
      </c>
      <c r="B2" s="233"/>
      <c r="C2" s="233" t="str">
        <f>IF(หน้าหลัก!E5 &lt;&gt;"","เลขแผนผัง "&amp;หน้าหลัก!B5&amp;หน้าหลัก!E5,"")</f>
        <v>เลขแผนผัง TF09-0A3/690796</v>
      </c>
      <c r="D2" s="233"/>
      <c r="E2" s="233"/>
      <c r="F2" s="233"/>
    </row>
    <row r="3" spans="1:6" x14ac:dyDescent="0.55000000000000004">
      <c r="A3" s="146" t="s">
        <v>226</v>
      </c>
      <c r="B3" s="134" t="s">
        <v>227</v>
      </c>
      <c r="C3" s="134" t="s">
        <v>228</v>
      </c>
      <c r="D3" s="134" t="s">
        <v>41</v>
      </c>
      <c r="E3" s="134" t="s">
        <v>229</v>
      </c>
      <c r="F3" s="134" t="s">
        <v>230</v>
      </c>
    </row>
    <row r="4" spans="1:6" x14ac:dyDescent="0.55000000000000004">
      <c r="A4" s="135" t="s">
        <v>252</v>
      </c>
      <c r="B4" s="136">
        <v>1</v>
      </c>
      <c r="C4" s="137">
        <v>380</v>
      </c>
      <c r="D4" s="137">
        <f>B4*C4</f>
        <v>380</v>
      </c>
      <c r="E4" s="137">
        <f>D4</f>
        <v>380</v>
      </c>
      <c r="F4" s="138">
        <v>510</v>
      </c>
    </row>
    <row r="5" spans="1:6" s="150" customFormat="1" x14ac:dyDescent="0.55000000000000004">
      <c r="A5" s="147" t="s">
        <v>253</v>
      </c>
      <c r="B5" s="148">
        <v>20</v>
      </c>
      <c r="C5" s="149">
        <v>320</v>
      </c>
      <c r="D5" s="149">
        <f t="shared" ref="D5:D10" si="0">B5*C5</f>
        <v>6400</v>
      </c>
      <c r="E5" s="149">
        <f t="shared" ref="E5:E10" si="1">D5</f>
        <v>6400</v>
      </c>
      <c r="F5" s="138">
        <v>0</v>
      </c>
    </row>
    <row r="6" spans="1:6" x14ac:dyDescent="0.55000000000000004">
      <c r="A6" s="135" t="s">
        <v>254</v>
      </c>
      <c r="B6" s="136">
        <v>1</v>
      </c>
      <c r="C6" s="137">
        <v>45</v>
      </c>
      <c r="D6" s="137">
        <f t="shared" si="0"/>
        <v>45</v>
      </c>
      <c r="E6" s="137">
        <f t="shared" si="1"/>
        <v>45</v>
      </c>
      <c r="F6" s="138">
        <v>0</v>
      </c>
    </row>
    <row r="7" spans="1:6" x14ac:dyDescent="0.55000000000000004">
      <c r="A7" s="135" t="s">
        <v>255</v>
      </c>
      <c r="B7" s="136">
        <v>3</v>
      </c>
      <c r="C7" s="137">
        <v>55</v>
      </c>
      <c r="D7" s="137">
        <f t="shared" si="0"/>
        <v>165</v>
      </c>
      <c r="E7" s="137">
        <f t="shared" si="1"/>
        <v>165</v>
      </c>
      <c r="F7" s="138">
        <v>0</v>
      </c>
    </row>
    <row r="8" spans="1:6" x14ac:dyDescent="0.55000000000000004">
      <c r="A8" s="135" t="s">
        <v>235</v>
      </c>
      <c r="B8" s="136">
        <v>1</v>
      </c>
      <c r="C8" s="137">
        <v>7</v>
      </c>
      <c r="D8" s="137">
        <f t="shared" si="0"/>
        <v>7</v>
      </c>
      <c r="E8" s="137">
        <f t="shared" si="1"/>
        <v>7</v>
      </c>
      <c r="F8" s="138">
        <v>0</v>
      </c>
    </row>
    <row r="9" spans="1:6" x14ac:dyDescent="0.55000000000000004">
      <c r="A9" s="135" t="s">
        <v>249</v>
      </c>
      <c r="B9" s="136">
        <v>1</v>
      </c>
      <c r="C9" s="137">
        <v>5</v>
      </c>
      <c r="D9" s="137">
        <f t="shared" si="0"/>
        <v>5</v>
      </c>
      <c r="E9" s="137">
        <f t="shared" si="1"/>
        <v>5</v>
      </c>
      <c r="F9" s="138">
        <v>0</v>
      </c>
    </row>
    <row r="10" spans="1:6" ht="30" customHeight="1" x14ac:dyDescent="0.55000000000000004">
      <c r="A10" s="139" t="s">
        <v>256</v>
      </c>
      <c r="B10" s="136">
        <v>1</v>
      </c>
      <c r="C10" s="137">
        <v>210</v>
      </c>
      <c r="D10" s="137">
        <f t="shared" si="0"/>
        <v>210</v>
      </c>
      <c r="E10" s="137">
        <f t="shared" si="1"/>
        <v>210</v>
      </c>
      <c r="F10" s="135">
        <v>90</v>
      </c>
    </row>
    <row r="11" spans="1:6" x14ac:dyDescent="0.55000000000000004">
      <c r="A11" s="234" t="s">
        <v>41</v>
      </c>
      <c r="B11" s="234"/>
      <c r="C11" s="234"/>
      <c r="D11" s="234"/>
      <c r="E11" s="142">
        <f>SUM(E4:E10)</f>
        <v>7212</v>
      </c>
      <c r="F11" s="142">
        <f>SUM(F4:F10)</f>
        <v>600</v>
      </c>
    </row>
    <row r="12" spans="1:6" x14ac:dyDescent="0.55000000000000004">
      <c r="A12" s="234" t="s">
        <v>237</v>
      </c>
      <c r="B12" s="234"/>
      <c r="C12" s="234"/>
      <c r="D12" s="234"/>
      <c r="E12" s="142">
        <f>E11+F11</f>
        <v>7812</v>
      </c>
      <c r="F12" s="142"/>
    </row>
    <row r="13" spans="1:6" x14ac:dyDescent="0.55000000000000004">
      <c r="A13" s="234" t="s">
        <v>238</v>
      </c>
      <c r="B13" s="234"/>
      <c r="C13" s="234"/>
      <c r="D13" s="234"/>
      <c r="E13" s="142">
        <f>E12*7.5%</f>
        <v>585.9</v>
      </c>
      <c r="F13" s="143"/>
    </row>
    <row r="14" spans="1:6" ht="29.4" thickBot="1" x14ac:dyDescent="0.6">
      <c r="A14" s="231" t="s">
        <v>239</v>
      </c>
      <c r="B14" s="231"/>
      <c r="C14" s="231"/>
      <c r="D14" s="231"/>
      <c r="E14" s="144">
        <f>E12+E13</f>
        <v>8397.9</v>
      </c>
      <c r="F14" s="143"/>
    </row>
    <row r="15" spans="1:6" ht="29.4" thickTop="1" x14ac:dyDescent="0.55000000000000004">
      <c r="A15" s="151" t="s">
        <v>240</v>
      </c>
      <c r="B15" s="152"/>
      <c r="C15" s="152"/>
      <c r="D15" s="152"/>
      <c r="E15" s="153"/>
    </row>
    <row r="16" spans="1:6" x14ac:dyDescent="0.55000000000000004">
      <c r="A16" s="154" t="s">
        <v>241</v>
      </c>
      <c r="B16" s="145"/>
      <c r="C16" s="145"/>
      <c r="D16" s="145"/>
      <c r="E16" s="145"/>
    </row>
    <row r="17" spans="1:5" x14ac:dyDescent="0.55000000000000004">
      <c r="A17" s="154" t="s">
        <v>257</v>
      </c>
      <c r="B17" s="145"/>
      <c r="C17" s="145"/>
      <c r="D17" s="145"/>
      <c r="E17" s="145"/>
    </row>
    <row r="18" spans="1:5" x14ac:dyDescent="0.55000000000000004">
      <c r="A18" s="145"/>
      <c r="B18" s="12" t="s">
        <v>6</v>
      </c>
      <c r="C18" s="1"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D18" s="1"/>
      <c r="E18" s="145"/>
    </row>
    <row r="19" spans="1:5" x14ac:dyDescent="0.55000000000000004">
      <c r="B19" s="12" t="s">
        <v>5</v>
      </c>
      <c r="C19" s="1"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D19" s="1"/>
    </row>
    <row r="20" spans="1:5" x14ac:dyDescent="0.55000000000000004">
      <c r="B20" s="12" t="s">
        <v>4</v>
      </c>
      <c r="C20" s="1"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D20" s="1"/>
    </row>
  </sheetData>
  <mergeCells count="7">
    <mergeCell ref="A14:D14"/>
    <mergeCell ref="A1:E1"/>
    <mergeCell ref="A2:B2"/>
    <mergeCell ref="C2:F2"/>
    <mergeCell ref="A11:D11"/>
    <mergeCell ref="A12:D12"/>
    <mergeCell ref="A13:D13"/>
  </mergeCells>
  <pageMargins left="0.59055118110236215" right="0.59055118110236215" top="0.59055118110236215" bottom="0.59055118110236215" header="0.59055118110236215" footer="0.59055118110236215"/>
  <pageSetup paperSize="9" scale="71"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6D6B7-EF4E-4E3F-AF08-3965CC09ACEF}">
  <sheetPr codeName="Sheet24">
    <tabColor rgb="FF00B050"/>
    <pageSetUpPr fitToPage="1"/>
  </sheetPr>
  <dimension ref="A1:F22"/>
  <sheetViews>
    <sheetView zoomScale="70" zoomScaleNormal="70" workbookViewId="0">
      <selection activeCell="M18" sqref="M18"/>
    </sheetView>
  </sheetViews>
  <sheetFormatPr defaultColWidth="9" defaultRowHeight="28.8" x14ac:dyDescent="0.55000000000000004"/>
  <cols>
    <col min="1" max="1" width="79.5" style="133" customWidth="1"/>
    <col min="2" max="2" width="13.69921875" style="133" bestFit="1" customWidth="1"/>
    <col min="3" max="3" width="11.3984375" style="133" customWidth="1"/>
    <col min="4" max="4" width="10.59765625" style="133" customWidth="1"/>
    <col min="5" max="5" width="11.09765625" style="133" customWidth="1"/>
    <col min="6" max="16384" width="9" style="133"/>
  </cols>
  <sheetData>
    <row r="1" spans="1:6" x14ac:dyDescent="0.55000000000000004">
      <c r="A1" s="232" t="s">
        <v>258</v>
      </c>
      <c r="B1" s="232"/>
      <c r="C1" s="232"/>
      <c r="D1" s="232"/>
      <c r="E1" s="232"/>
    </row>
    <row r="2" spans="1:6" x14ac:dyDescent="0.55000000000000004">
      <c r="A2" s="233" t="str">
        <f>IF(หน้าหลัก!B2="","","ชื่องาน "&amp;หน้าหลัก!B2&amp;" ")</f>
        <v xml:space="preserve">ชื่องาน แขวงทางหลวงสงขลาที่ 1 หน้าศูนย์กระจายสินค้า (จุดที่ 2) </v>
      </c>
      <c r="B2" s="233"/>
      <c r="C2" s="233" t="str">
        <f>IF(หน้าหลัก!E5 &lt;&gt;"","เลขแผนผัง "&amp;หน้าหลัก!B5&amp;หน้าหลัก!E5,"")</f>
        <v>เลขแผนผัง TF09-0A3/690796</v>
      </c>
      <c r="D2" s="233"/>
      <c r="E2" s="233"/>
      <c r="F2" s="233"/>
    </row>
    <row r="3" spans="1:6" x14ac:dyDescent="0.55000000000000004">
      <c r="A3" s="155" t="s">
        <v>226</v>
      </c>
      <c r="B3" s="155" t="s">
        <v>227</v>
      </c>
      <c r="C3" s="155" t="s">
        <v>228</v>
      </c>
      <c r="D3" s="155" t="s">
        <v>41</v>
      </c>
      <c r="E3" s="155" t="s">
        <v>229</v>
      </c>
      <c r="F3" s="155" t="s">
        <v>230</v>
      </c>
    </row>
    <row r="4" spans="1:6" x14ac:dyDescent="0.55000000000000004">
      <c r="A4" s="135" t="s">
        <v>259</v>
      </c>
      <c r="B4" s="136">
        <v>1</v>
      </c>
      <c r="C4" s="137">
        <v>380</v>
      </c>
      <c r="D4" s="137">
        <f>B4*C4</f>
        <v>380</v>
      </c>
      <c r="E4" s="137">
        <f>D4</f>
        <v>380</v>
      </c>
      <c r="F4" s="135">
        <v>510</v>
      </c>
    </row>
    <row r="5" spans="1:6" x14ac:dyDescent="0.55000000000000004">
      <c r="A5" s="135" t="s">
        <v>260</v>
      </c>
      <c r="B5" s="136">
        <v>20</v>
      </c>
      <c r="C5" s="137">
        <v>250</v>
      </c>
      <c r="D5" s="137">
        <f t="shared" ref="D5:D9" si="0">B5*C5</f>
        <v>5000</v>
      </c>
      <c r="E5" s="137">
        <f t="shared" ref="E5:E9" si="1">D5</f>
        <v>5000</v>
      </c>
      <c r="F5" s="138">
        <v>0</v>
      </c>
    </row>
    <row r="6" spans="1:6" x14ac:dyDescent="0.55000000000000004">
      <c r="A6" s="135" t="s">
        <v>261</v>
      </c>
      <c r="B6" s="136">
        <v>1</v>
      </c>
      <c r="C6" s="137">
        <v>150</v>
      </c>
      <c r="D6" s="137">
        <f t="shared" si="0"/>
        <v>150</v>
      </c>
      <c r="E6" s="137">
        <f t="shared" si="1"/>
        <v>150</v>
      </c>
      <c r="F6" s="138">
        <v>0</v>
      </c>
    </row>
    <row r="7" spans="1:6" x14ac:dyDescent="0.55000000000000004">
      <c r="A7" s="135" t="s">
        <v>247</v>
      </c>
      <c r="B7" s="136">
        <v>3</v>
      </c>
      <c r="C7" s="137">
        <v>60</v>
      </c>
      <c r="D7" s="137">
        <f t="shared" si="0"/>
        <v>180</v>
      </c>
      <c r="E7" s="137">
        <f t="shared" si="1"/>
        <v>180</v>
      </c>
      <c r="F7" s="138">
        <v>0</v>
      </c>
    </row>
    <row r="8" spans="1:6" x14ac:dyDescent="0.55000000000000004">
      <c r="A8" s="135" t="s">
        <v>235</v>
      </c>
      <c r="B8" s="136">
        <v>1</v>
      </c>
      <c r="C8" s="137">
        <v>10</v>
      </c>
      <c r="D8" s="137">
        <f t="shared" si="0"/>
        <v>10</v>
      </c>
      <c r="E8" s="137">
        <f t="shared" si="1"/>
        <v>10</v>
      </c>
      <c r="F8" s="138">
        <v>0</v>
      </c>
    </row>
    <row r="9" spans="1:6" ht="32.25" customHeight="1" x14ac:dyDescent="0.55000000000000004">
      <c r="A9" s="139" t="s">
        <v>262</v>
      </c>
      <c r="B9" s="140">
        <v>1</v>
      </c>
      <c r="C9" s="141">
        <v>190</v>
      </c>
      <c r="D9" s="141">
        <f t="shared" si="0"/>
        <v>190</v>
      </c>
      <c r="E9" s="137">
        <f t="shared" si="1"/>
        <v>190</v>
      </c>
      <c r="F9" s="135">
        <v>90</v>
      </c>
    </row>
    <row r="10" spans="1:6" ht="32.25" customHeight="1" x14ac:dyDescent="0.55000000000000004">
      <c r="A10" s="235" t="s">
        <v>317</v>
      </c>
      <c r="B10" s="235"/>
      <c r="C10" s="235"/>
      <c r="D10" s="235"/>
      <c r="E10" s="235"/>
      <c r="F10" s="235"/>
    </row>
    <row r="11" spans="1:6" ht="32.25" customHeight="1" x14ac:dyDescent="0.55000000000000004">
      <c r="A11" s="165" t="s">
        <v>318</v>
      </c>
      <c r="B11" s="166">
        <v>55</v>
      </c>
      <c r="C11" s="167">
        <v>1005</v>
      </c>
      <c r="D11" s="167">
        <f t="shared" ref="D11:D12" si="2">B11*C11</f>
        <v>55275</v>
      </c>
      <c r="E11" s="168">
        <f t="shared" ref="E11:E12" si="3">D11</f>
        <v>55275</v>
      </c>
      <c r="F11" s="135"/>
    </row>
    <row r="12" spans="1:6" ht="32.25" customHeight="1" x14ac:dyDescent="0.55000000000000004">
      <c r="A12" s="165" t="s">
        <v>319</v>
      </c>
      <c r="B12" s="166">
        <v>7</v>
      </c>
      <c r="C12" s="167">
        <v>275</v>
      </c>
      <c r="D12" s="167">
        <f t="shared" si="2"/>
        <v>1925</v>
      </c>
      <c r="E12" s="168">
        <f t="shared" si="3"/>
        <v>1925</v>
      </c>
      <c r="F12" s="135"/>
    </row>
    <row r="13" spans="1:6" x14ac:dyDescent="0.55000000000000004">
      <c r="A13" s="234" t="s">
        <v>41</v>
      </c>
      <c r="B13" s="234"/>
      <c r="C13" s="234"/>
      <c r="D13" s="234"/>
      <c r="E13" s="142">
        <f>SUM(E4:E12)</f>
        <v>63110</v>
      </c>
      <c r="F13" s="142">
        <f>SUM(F4:F9)</f>
        <v>600</v>
      </c>
    </row>
    <row r="14" spans="1:6" x14ac:dyDescent="0.55000000000000004">
      <c r="A14" s="234" t="s">
        <v>237</v>
      </c>
      <c r="B14" s="234"/>
      <c r="C14" s="234"/>
      <c r="D14" s="234"/>
      <c r="E14" s="142">
        <f>E13+F13</f>
        <v>63710</v>
      </c>
      <c r="F14" s="142"/>
    </row>
    <row r="15" spans="1:6" x14ac:dyDescent="0.55000000000000004">
      <c r="A15" s="234" t="s">
        <v>238</v>
      </c>
      <c r="B15" s="234"/>
      <c r="C15" s="234"/>
      <c r="D15" s="234"/>
      <c r="E15" s="142">
        <f>E14*7.5%</f>
        <v>4778.25</v>
      </c>
      <c r="F15" s="143"/>
    </row>
    <row r="16" spans="1:6" ht="29.4" thickBot="1" x14ac:dyDescent="0.6">
      <c r="A16" s="231" t="s">
        <v>239</v>
      </c>
      <c r="B16" s="231"/>
      <c r="C16" s="231"/>
      <c r="D16" s="231"/>
      <c r="E16" s="144">
        <f>E14+E15</f>
        <v>68488.25</v>
      </c>
      <c r="F16" s="143"/>
    </row>
    <row r="17" spans="1:5" ht="29.4" thickTop="1" x14ac:dyDescent="0.55000000000000004">
      <c r="A17" s="151" t="s">
        <v>240</v>
      </c>
      <c r="B17" s="152"/>
      <c r="C17" s="152"/>
      <c r="D17" s="152"/>
      <c r="E17" s="153"/>
    </row>
    <row r="18" spans="1:5" x14ac:dyDescent="0.55000000000000004">
      <c r="A18" s="154" t="s">
        <v>241</v>
      </c>
      <c r="B18" s="145"/>
      <c r="C18" s="145"/>
      <c r="D18" s="145"/>
      <c r="E18" s="145"/>
    </row>
    <row r="19" spans="1:5" x14ac:dyDescent="0.55000000000000004">
      <c r="A19" s="154" t="s">
        <v>263</v>
      </c>
      <c r="B19" s="145"/>
      <c r="C19" s="145"/>
      <c r="D19" s="145"/>
      <c r="E19" s="145"/>
    </row>
    <row r="20" spans="1:5" x14ac:dyDescent="0.55000000000000004">
      <c r="B20" s="157" t="s">
        <v>6</v>
      </c>
      <c r="C20" s="158"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D20" s="158"/>
    </row>
    <row r="21" spans="1:5" x14ac:dyDescent="0.55000000000000004">
      <c r="B21" s="157" t="s">
        <v>5</v>
      </c>
      <c r="C21" s="158"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D21" s="158"/>
    </row>
    <row r="22" spans="1:5" x14ac:dyDescent="0.55000000000000004">
      <c r="B22" s="157" t="s">
        <v>4</v>
      </c>
      <c r="C22" s="158"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D22" s="158"/>
    </row>
  </sheetData>
  <mergeCells count="8">
    <mergeCell ref="A16:D16"/>
    <mergeCell ref="A10:F10"/>
    <mergeCell ref="A1:E1"/>
    <mergeCell ref="A2:B2"/>
    <mergeCell ref="C2:F2"/>
    <mergeCell ref="A13:D13"/>
    <mergeCell ref="A14:D14"/>
    <mergeCell ref="A15:D15"/>
  </mergeCells>
  <pageMargins left="0.59055118110236215" right="0.59055118110236215" top="0.59055118110236215" bottom="0.59055118110236215" header="0.59055118110236215" footer="0.59055118110236215"/>
  <pageSetup paperSize="9" scale="62"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F57435-B321-4371-9992-BFBA0ADF4877}">
  <sheetPr codeName="Sheet25">
    <tabColor rgb="FF00B050"/>
    <pageSetUpPr fitToPage="1"/>
  </sheetPr>
  <dimension ref="A1:F19"/>
  <sheetViews>
    <sheetView zoomScale="90" zoomScaleNormal="90" workbookViewId="0">
      <selection activeCell="F18" sqref="F18"/>
    </sheetView>
  </sheetViews>
  <sheetFormatPr defaultColWidth="9" defaultRowHeight="28.8" x14ac:dyDescent="0.55000000000000004"/>
  <cols>
    <col min="1" max="1" width="73" style="133" customWidth="1"/>
    <col min="2" max="2" width="13" style="133" bestFit="1" customWidth="1"/>
    <col min="3" max="3" width="11.3984375" style="133" customWidth="1"/>
    <col min="4" max="4" width="9.69921875" style="133" customWidth="1"/>
    <col min="5" max="5" width="11.09765625" style="133" customWidth="1"/>
    <col min="6" max="16384" width="9" style="133"/>
  </cols>
  <sheetData>
    <row r="1" spans="1:6" x14ac:dyDescent="0.55000000000000004">
      <c r="A1" s="233" t="s">
        <v>225</v>
      </c>
      <c r="B1" s="233"/>
      <c r="C1" s="233"/>
      <c r="D1" s="233"/>
      <c r="E1" s="233"/>
      <c r="F1" s="233"/>
    </row>
    <row r="2" spans="1:6" x14ac:dyDescent="0.55000000000000004">
      <c r="A2" s="233" t="str">
        <f>IF(หน้าหลัก!B2="","","ชื่องาน "&amp;หน้าหลัก!B2&amp;" ")</f>
        <v xml:space="preserve">ชื่องาน แขวงทางหลวงสงขลาที่ 1 หน้าศูนย์กระจายสินค้า (จุดที่ 2) </v>
      </c>
      <c r="B2" s="233"/>
      <c r="C2" s="233" t="str">
        <f>IF(หน้าหลัก!E5 &lt;&gt;"","เลขแผนผัง "&amp;หน้าหลัก!B5&amp;หน้าหลัก!E5,"")</f>
        <v>เลขแผนผัง TF09-0A3/690796</v>
      </c>
      <c r="D2" s="233"/>
      <c r="E2" s="233"/>
      <c r="F2" s="233"/>
    </row>
    <row r="3" spans="1:6" x14ac:dyDescent="0.55000000000000004">
      <c r="A3" s="146" t="s">
        <v>226</v>
      </c>
      <c r="B3" s="134" t="s">
        <v>227</v>
      </c>
      <c r="C3" s="134" t="s">
        <v>228</v>
      </c>
      <c r="D3" s="134" t="s">
        <v>41</v>
      </c>
      <c r="E3" s="134" t="s">
        <v>229</v>
      </c>
      <c r="F3" s="134" t="s">
        <v>230</v>
      </c>
    </row>
    <row r="4" spans="1:6" x14ac:dyDescent="0.55000000000000004">
      <c r="A4" s="135" t="s">
        <v>231</v>
      </c>
      <c r="B4" s="136">
        <v>1</v>
      </c>
      <c r="C4" s="137">
        <v>380</v>
      </c>
      <c r="D4" s="137">
        <f>B4*C4</f>
        <v>380</v>
      </c>
      <c r="E4" s="142">
        <f>D4</f>
        <v>380</v>
      </c>
      <c r="F4" s="138">
        <v>510</v>
      </c>
    </row>
    <row r="5" spans="1:6" x14ac:dyDescent="0.55000000000000004">
      <c r="A5" s="135" t="s">
        <v>232</v>
      </c>
      <c r="B5" s="136">
        <v>20</v>
      </c>
      <c r="C5" s="137">
        <v>190</v>
      </c>
      <c r="D5" s="137">
        <f t="shared" ref="D5:D9" si="0">B5*C5</f>
        <v>3800</v>
      </c>
      <c r="E5" s="142">
        <f t="shared" ref="E5:E9" si="1">D5</f>
        <v>3800</v>
      </c>
      <c r="F5" s="138">
        <v>0</v>
      </c>
    </row>
    <row r="6" spans="1:6" x14ac:dyDescent="0.55000000000000004">
      <c r="A6" s="135" t="s">
        <v>233</v>
      </c>
      <c r="B6" s="136">
        <v>1</v>
      </c>
      <c r="C6" s="137">
        <v>150</v>
      </c>
      <c r="D6" s="137">
        <f t="shared" si="0"/>
        <v>150</v>
      </c>
      <c r="E6" s="142">
        <f t="shared" si="1"/>
        <v>150</v>
      </c>
      <c r="F6" s="138">
        <v>0</v>
      </c>
    </row>
    <row r="7" spans="1:6" x14ac:dyDescent="0.55000000000000004">
      <c r="A7" s="135" t="s">
        <v>234</v>
      </c>
      <c r="B7" s="136">
        <v>3</v>
      </c>
      <c r="C7" s="137">
        <v>60</v>
      </c>
      <c r="D7" s="137">
        <f t="shared" si="0"/>
        <v>180</v>
      </c>
      <c r="E7" s="142">
        <f t="shared" si="1"/>
        <v>180</v>
      </c>
      <c r="F7" s="138">
        <v>0</v>
      </c>
    </row>
    <row r="8" spans="1:6" x14ac:dyDescent="0.55000000000000004">
      <c r="A8" s="135" t="s">
        <v>235</v>
      </c>
      <c r="B8" s="136">
        <v>1</v>
      </c>
      <c r="C8" s="137">
        <v>10</v>
      </c>
      <c r="D8" s="137">
        <f t="shared" si="0"/>
        <v>10</v>
      </c>
      <c r="E8" s="142">
        <f t="shared" si="1"/>
        <v>10</v>
      </c>
      <c r="F8" s="138">
        <v>0</v>
      </c>
    </row>
    <row r="9" spans="1:6" x14ac:dyDescent="0.55000000000000004">
      <c r="A9" s="139" t="s">
        <v>236</v>
      </c>
      <c r="B9" s="140">
        <v>1</v>
      </c>
      <c r="C9" s="141">
        <v>190</v>
      </c>
      <c r="D9" s="141">
        <f t="shared" si="0"/>
        <v>190</v>
      </c>
      <c r="E9" s="142">
        <f t="shared" si="1"/>
        <v>190</v>
      </c>
      <c r="F9" s="138">
        <v>90</v>
      </c>
    </row>
    <row r="10" spans="1:6" x14ac:dyDescent="0.55000000000000004">
      <c r="A10" s="234" t="s">
        <v>41</v>
      </c>
      <c r="B10" s="234"/>
      <c r="C10" s="234"/>
      <c r="D10" s="234"/>
      <c r="E10" s="142">
        <f>SUM(E4:E9)</f>
        <v>4710</v>
      </c>
      <c r="F10" s="142">
        <f>SUM(F4:F9)</f>
        <v>600</v>
      </c>
    </row>
    <row r="11" spans="1:6" x14ac:dyDescent="0.55000000000000004">
      <c r="A11" s="234" t="s">
        <v>237</v>
      </c>
      <c r="B11" s="234"/>
      <c r="C11" s="234"/>
      <c r="D11" s="234"/>
      <c r="E11" s="236">
        <f>E10+F10</f>
        <v>5310</v>
      </c>
      <c r="F11" s="236"/>
    </row>
    <row r="12" spans="1:6" x14ac:dyDescent="0.55000000000000004">
      <c r="A12" s="234" t="s">
        <v>238</v>
      </c>
      <c r="B12" s="234"/>
      <c r="C12" s="234"/>
      <c r="D12" s="234"/>
      <c r="E12" s="236">
        <f>E11*7.5%</f>
        <v>398.25</v>
      </c>
      <c r="F12" s="236"/>
    </row>
    <row r="13" spans="1:6" ht="29.4" thickBot="1" x14ac:dyDescent="0.6">
      <c r="A13" s="231" t="s">
        <v>239</v>
      </c>
      <c r="B13" s="231"/>
      <c r="C13" s="231"/>
      <c r="D13" s="231"/>
      <c r="E13" s="237">
        <f>E10+F10+E12</f>
        <v>5708.25</v>
      </c>
      <c r="F13" s="237"/>
    </row>
    <row r="14" spans="1:6" ht="29.4" thickTop="1" x14ac:dyDescent="0.55000000000000004">
      <c r="A14" s="151" t="s">
        <v>240</v>
      </c>
      <c r="B14" s="152"/>
      <c r="C14" s="152"/>
      <c r="D14" s="152"/>
      <c r="E14" s="156"/>
      <c r="F14" s="156"/>
    </row>
    <row r="15" spans="1:6" x14ac:dyDescent="0.55000000000000004">
      <c r="A15" s="154" t="s">
        <v>241</v>
      </c>
      <c r="B15" s="152"/>
      <c r="C15" s="152"/>
      <c r="D15" s="152"/>
      <c r="E15" s="156"/>
      <c r="F15" s="156"/>
    </row>
    <row r="16" spans="1:6" x14ac:dyDescent="0.55000000000000004">
      <c r="A16" s="154" t="s">
        <v>242</v>
      </c>
      <c r="B16" s="145"/>
      <c r="C16" s="145"/>
      <c r="D16" s="145"/>
      <c r="E16" s="145"/>
    </row>
    <row r="17" spans="2:4" x14ac:dyDescent="0.55000000000000004">
      <c r="B17" s="157" t="s">
        <v>6</v>
      </c>
      <c r="C17" s="158"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D17" s="158"/>
    </row>
    <row r="18" spans="2:4" x14ac:dyDescent="0.55000000000000004">
      <c r="B18" s="157" t="s">
        <v>5</v>
      </c>
      <c r="C18" s="158"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D18" s="158"/>
    </row>
    <row r="19" spans="2:4" x14ac:dyDescent="0.55000000000000004">
      <c r="B19" s="157" t="s">
        <v>4</v>
      </c>
      <c r="C19" s="158"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D19" s="158"/>
    </row>
  </sheetData>
  <mergeCells count="10">
    <mergeCell ref="A12:D12"/>
    <mergeCell ref="E12:F12"/>
    <mergeCell ref="A13:D13"/>
    <mergeCell ref="E13:F13"/>
    <mergeCell ref="A1:F1"/>
    <mergeCell ref="A2:B2"/>
    <mergeCell ref="C2:F2"/>
    <mergeCell ref="A10:D10"/>
    <mergeCell ref="A11:D11"/>
    <mergeCell ref="E11:F11"/>
  </mergeCells>
  <pageMargins left="0.59055118110236215" right="0.59055118110236215" top="0.59055118110236215" bottom="0.59055118110236215" header="0.59055118110236215" footer="0.59055118110236215"/>
  <pageSetup paperSize="9" scale="66"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2E693-801B-41E4-96D7-9D2470C98BA4}">
  <sheetPr codeName="Sheet14">
    <pageSetUpPr fitToPage="1"/>
  </sheetPr>
  <dimension ref="A1:F20"/>
  <sheetViews>
    <sheetView zoomScale="85" zoomScaleNormal="85" workbookViewId="0">
      <selection activeCell="F18" sqref="F18"/>
    </sheetView>
  </sheetViews>
  <sheetFormatPr defaultColWidth="9" defaultRowHeight="28.8" x14ac:dyDescent="0.55000000000000004"/>
  <cols>
    <col min="1" max="1" width="80.59765625" style="133" customWidth="1"/>
    <col min="2" max="2" width="13" style="133" bestFit="1" customWidth="1"/>
    <col min="3" max="3" width="11.3984375" style="133" customWidth="1"/>
    <col min="4" max="4" width="9.69921875" style="133" customWidth="1"/>
    <col min="5" max="5" width="11.09765625" style="133" customWidth="1"/>
    <col min="6" max="16384" width="9" style="133"/>
  </cols>
  <sheetData>
    <row r="1" spans="1:6" x14ac:dyDescent="0.55000000000000004">
      <c r="A1" s="232" t="s">
        <v>243</v>
      </c>
      <c r="B1" s="232"/>
      <c r="C1" s="232"/>
      <c r="D1" s="232"/>
      <c r="E1" s="232"/>
    </row>
    <row r="2" spans="1:6" x14ac:dyDescent="0.55000000000000004">
      <c r="A2" s="233" t="str">
        <f>IF(หน้าหลัก!B2="","","ชื่องาน "&amp;หน้าหลัก!B2&amp;" ")</f>
        <v xml:space="preserve">ชื่องาน แขวงทางหลวงสงขลาที่ 1 หน้าศูนย์กระจายสินค้า (จุดที่ 2) </v>
      </c>
      <c r="B2" s="233"/>
      <c r="C2" s="233" t="str">
        <f>IF(หน้าหลัก!E5 &lt;&gt;"","เลขแผนผัง "&amp;หน้าหลัก!B5&amp;หน้าหลัก!E5,"")</f>
        <v>เลขแผนผัง TF09-0A3/690796</v>
      </c>
      <c r="D2" s="233"/>
      <c r="E2" s="233"/>
      <c r="F2" s="233"/>
    </row>
    <row r="3" spans="1:6" x14ac:dyDescent="0.55000000000000004">
      <c r="A3" s="134" t="s">
        <v>226</v>
      </c>
      <c r="B3" s="134" t="s">
        <v>227</v>
      </c>
      <c r="C3" s="134" t="s">
        <v>228</v>
      </c>
      <c r="D3" s="134" t="s">
        <v>41</v>
      </c>
      <c r="E3" s="134" t="s">
        <v>229</v>
      </c>
      <c r="F3" s="134" t="s">
        <v>230</v>
      </c>
    </row>
    <row r="4" spans="1:6" x14ac:dyDescent="0.55000000000000004">
      <c r="A4" s="135" t="s">
        <v>244</v>
      </c>
      <c r="B4" s="136">
        <v>1</v>
      </c>
      <c r="C4" s="137">
        <v>480</v>
      </c>
      <c r="D4" s="137">
        <f>B4*C4</f>
        <v>480</v>
      </c>
      <c r="E4" s="137">
        <f>D4</f>
        <v>480</v>
      </c>
      <c r="F4" s="138">
        <v>510</v>
      </c>
    </row>
    <row r="5" spans="1:6" x14ac:dyDescent="0.55000000000000004">
      <c r="A5" s="135" t="s">
        <v>245</v>
      </c>
      <c r="B5" s="136">
        <v>20</v>
      </c>
      <c r="C5" s="137">
        <v>365</v>
      </c>
      <c r="D5" s="137">
        <f t="shared" ref="D5:D10" si="0">B5*C5</f>
        <v>7300</v>
      </c>
      <c r="E5" s="137">
        <f t="shared" ref="E5:E10" si="1">D5</f>
        <v>7300</v>
      </c>
      <c r="F5" s="138">
        <v>0</v>
      </c>
    </row>
    <row r="6" spans="1:6" x14ac:dyDescent="0.55000000000000004">
      <c r="A6" s="135" t="s">
        <v>246</v>
      </c>
      <c r="B6" s="136">
        <v>1</v>
      </c>
      <c r="C6" s="137">
        <v>395</v>
      </c>
      <c r="D6" s="137">
        <f t="shared" si="0"/>
        <v>395</v>
      </c>
      <c r="E6" s="137">
        <f t="shared" si="1"/>
        <v>395</v>
      </c>
      <c r="F6" s="138">
        <v>0</v>
      </c>
    </row>
    <row r="7" spans="1:6" x14ac:dyDescent="0.55000000000000004">
      <c r="A7" s="135" t="s">
        <v>247</v>
      </c>
      <c r="B7" s="136">
        <v>3</v>
      </c>
      <c r="C7" s="137">
        <v>55</v>
      </c>
      <c r="D7" s="137">
        <f t="shared" si="0"/>
        <v>165</v>
      </c>
      <c r="E7" s="137">
        <f t="shared" si="1"/>
        <v>165</v>
      </c>
      <c r="F7" s="138">
        <v>0</v>
      </c>
    </row>
    <row r="8" spans="1:6" x14ac:dyDescent="0.55000000000000004">
      <c r="A8" s="135" t="s">
        <v>248</v>
      </c>
      <c r="B8" s="136">
        <v>1</v>
      </c>
      <c r="C8" s="137">
        <v>15</v>
      </c>
      <c r="D8" s="137">
        <f t="shared" si="0"/>
        <v>15</v>
      </c>
      <c r="E8" s="137">
        <f t="shared" si="1"/>
        <v>15</v>
      </c>
      <c r="F8" s="138">
        <v>0</v>
      </c>
    </row>
    <row r="9" spans="1:6" x14ac:dyDescent="0.55000000000000004">
      <c r="A9" s="135" t="s">
        <v>249</v>
      </c>
      <c r="B9" s="136">
        <v>1</v>
      </c>
      <c r="C9" s="137">
        <v>7</v>
      </c>
      <c r="D9" s="137">
        <f t="shared" si="0"/>
        <v>7</v>
      </c>
      <c r="E9" s="137">
        <f t="shared" si="1"/>
        <v>7</v>
      </c>
      <c r="F9" s="138">
        <v>0</v>
      </c>
    </row>
    <row r="10" spans="1:6" ht="30" customHeight="1" x14ac:dyDescent="0.55000000000000004">
      <c r="A10" s="139" t="s">
        <v>250</v>
      </c>
      <c r="B10" s="140">
        <v>1</v>
      </c>
      <c r="C10" s="141">
        <v>250</v>
      </c>
      <c r="D10" s="141">
        <f t="shared" si="0"/>
        <v>250</v>
      </c>
      <c r="E10" s="137">
        <f t="shared" si="1"/>
        <v>250</v>
      </c>
      <c r="F10" s="135">
        <v>90</v>
      </c>
    </row>
    <row r="11" spans="1:6" x14ac:dyDescent="0.55000000000000004">
      <c r="A11" s="234" t="s">
        <v>41</v>
      </c>
      <c r="B11" s="234"/>
      <c r="C11" s="234"/>
      <c r="D11" s="234"/>
      <c r="E11" s="142">
        <f>SUM(E4:E10)</f>
        <v>8612</v>
      </c>
      <c r="F11" s="142">
        <f>SUM(F4:F10)</f>
        <v>600</v>
      </c>
    </row>
    <row r="12" spans="1:6" x14ac:dyDescent="0.55000000000000004">
      <c r="A12" s="234" t="s">
        <v>237</v>
      </c>
      <c r="B12" s="234"/>
      <c r="C12" s="234"/>
      <c r="D12" s="234"/>
      <c r="E12" s="142">
        <f>E11+F11</f>
        <v>9212</v>
      </c>
      <c r="F12" s="142"/>
    </row>
    <row r="13" spans="1:6" x14ac:dyDescent="0.55000000000000004">
      <c r="A13" s="234" t="s">
        <v>238</v>
      </c>
      <c r="B13" s="234"/>
      <c r="C13" s="234"/>
      <c r="D13" s="234"/>
      <c r="E13" s="142">
        <f>E12*7.5%</f>
        <v>690.9</v>
      </c>
      <c r="F13" s="143"/>
    </row>
    <row r="14" spans="1:6" ht="29.4" thickBot="1" x14ac:dyDescent="0.6">
      <c r="A14" s="231" t="s">
        <v>239</v>
      </c>
      <c r="B14" s="231"/>
      <c r="C14" s="231"/>
      <c r="D14" s="231"/>
      <c r="E14" s="144">
        <f>E12+E13</f>
        <v>9902.9</v>
      </c>
      <c r="F14" s="143"/>
    </row>
    <row r="15" spans="1:6" ht="29.4" thickTop="1" x14ac:dyDescent="0.55000000000000004">
      <c r="A15" s="145"/>
      <c r="B15" s="145"/>
      <c r="C15" s="145"/>
      <c r="D15" s="145"/>
      <c r="E15" s="145"/>
    </row>
    <row r="16" spans="1:6" x14ac:dyDescent="0.55000000000000004">
      <c r="A16" s="145"/>
      <c r="B16" s="145"/>
      <c r="C16" s="145"/>
      <c r="D16" s="145"/>
      <c r="E16" s="145"/>
    </row>
    <row r="18" spans="2:4" x14ac:dyDescent="0.55000000000000004">
      <c r="B18" s="157" t="s">
        <v>6</v>
      </c>
      <c r="C18" s="158"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D18" s="158"/>
    </row>
    <row r="19" spans="2:4" x14ac:dyDescent="0.55000000000000004">
      <c r="B19" s="157" t="s">
        <v>5</v>
      </c>
      <c r="C19" s="158"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D19" s="158"/>
    </row>
    <row r="20" spans="2:4" x14ac:dyDescent="0.55000000000000004">
      <c r="B20" s="157" t="s">
        <v>4</v>
      </c>
      <c r="C20" s="158"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D20" s="158"/>
    </row>
  </sheetData>
  <mergeCells count="7">
    <mergeCell ref="A13:D13"/>
    <mergeCell ref="A14:D14"/>
    <mergeCell ref="A2:B2"/>
    <mergeCell ref="C2:F2"/>
    <mergeCell ref="A1:E1"/>
    <mergeCell ref="A11:D11"/>
    <mergeCell ref="A12:D12"/>
  </mergeCells>
  <pageMargins left="0.59055118110236215" right="0.59055118110236215" top="0.59055118110236215" bottom="0.59055118110236215" header="0.59055118110236215" footer="0.59055118110236215"/>
  <pageSetup paperSize="9" scale="62"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9B169-EE01-4743-972C-A36885B70DF5}">
  <sheetPr codeName="Sheet18">
    <tabColor rgb="FF00B050"/>
    <pageSetUpPr fitToPage="1"/>
  </sheetPr>
  <dimension ref="A1:F20"/>
  <sheetViews>
    <sheetView zoomScale="85" zoomScaleNormal="85" workbookViewId="0">
      <selection activeCell="F18" sqref="F18"/>
    </sheetView>
  </sheetViews>
  <sheetFormatPr defaultColWidth="9" defaultRowHeight="28.8" x14ac:dyDescent="0.55000000000000004"/>
  <cols>
    <col min="1" max="1" width="65.19921875" style="133" customWidth="1"/>
    <col min="2" max="2" width="11.5" style="133" bestFit="1" customWidth="1"/>
    <col min="3" max="3" width="11.3984375" style="133" customWidth="1"/>
    <col min="4" max="4" width="9.69921875" style="133" customWidth="1"/>
    <col min="5" max="5" width="11.09765625" style="133" customWidth="1"/>
    <col min="6" max="16384" width="9" style="133"/>
  </cols>
  <sheetData>
    <row r="1" spans="1:6" x14ac:dyDescent="0.55000000000000004">
      <c r="A1" s="232" t="s">
        <v>251</v>
      </c>
      <c r="B1" s="232"/>
      <c r="C1" s="232"/>
      <c r="D1" s="232"/>
      <c r="E1" s="232"/>
    </row>
    <row r="2" spans="1:6" x14ac:dyDescent="0.55000000000000004">
      <c r="A2" s="233" t="str">
        <f>IF(หน้าหลัก!B2="","","ชื่องาน "&amp;หน้าหลัก!B2&amp;" ")</f>
        <v xml:space="preserve">ชื่องาน แขวงทางหลวงสงขลาที่ 1 หน้าศูนย์กระจายสินค้า (จุดที่ 2) </v>
      </c>
      <c r="B2" s="233"/>
      <c r="C2" s="233" t="str">
        <f>IF(หน้าหลัก!E5 &lt;&gt;"","เลขแผนผัง "&amp;หน้าหลัก!B5&amp;หน้าหลัก!E5,"")</f>
        <v>เลขแผนผัง TF09-0A3/690796</v>
      </c>
      <c r="D2" s="233"/>
      <c r="E2" s="233"/>
      <c r="F2" s="233"/>
    </row>
    <row r="3" spans="1:6" x14ac:dyDescent="0.55000000000000004">
      <c r="A3" s="146" t="s">
        <v>226</v>
      </c>
      <c r="B3" s="134" t="s">
        <v>227</v>
      </c>
      <c r="C3" s="134" t="s">
        <v>228</v>
      </c>
      <c r="D3" s="134" t="s">
        <v>41</v>
      </c>
      <c r="E3" s="134" t="s">
        <v>229</v>
      </c>
      <c r="F3" s="134" t="s">
        <v>230</v>
      </c>
    </row>
    <row r="4" spans="1:6" x14ac:dyDescent="0.55000000000000004">
      <c r="A4" s="135" t="s">
        <v>252</v>
      </c>
      <c r="B4" s="136">
        <v>1</v>
      </c>
      <c r="C4" s="137">
        <v>380</v>
      </c>
      <c r="D4" s="137">
        <f>B4*C4</f>
        <v>380</v>
      </c>
      <c r="E4" s="137">
        <f>D4</f>
        <v>380</v>
      </c>
      <c r="F4" s="138">
        <v>510</v>
      </c>
    </row>
    <row r="5" spans="1:6" s="150" customFormat="1" x14ac:dyDescent="0.55000000000000004">
      <c r="A5" s="147" t="s">
        <v>253</v>
      </c>
      <c r="B5" s="148">
        <v>20</v>
      </c>
      <c r="C5" s="149">
        <v>320</v>
      </c>
      <c r="D5" s="149">
        <f t="shared" ref="D5:D10" si="0">B5*C5</f>
        <v>6400</v>
      </c>
      <c r="E5" s="149">
        <f t="shared" ref="E5:E10" si="1">D5</f>
        <v>6400</v>
      </c>
      <c r="F5" s="138">
        <v>0</v>
      </c>
    </row>
    <row r="6" spans="1:6" x14ac:dyDescent="0.55000000000000004">
      <c r="A6" s="135" t="s">
        <v>254</v>
      </c>
      <c r="B6" s="136">
        <v>1</v>
      </c>
      <c r="C6" s="137">
        <v>45</v>
      </c>
      <c r="D6" s="137">
        <f t="shared" si="0"/>
        <v>45</v>
      </c>
      <c r="E6" s="137">
        <f t="shared" si="1"/>
        <v>45</v>
      </c>
      <c r="F6" s="138">
        <v>0</v>
      </c>
    </row>
    <row r="7" spans="1:6" x14ac:dyDescent="0.55000000000000004">
      <c r="A7" s="135" t="s">
        <v>255</v>
      </c>
      <c r="B7" s="136">
        <v>3</v>
      </c>
      <c r="C7" s="137">
        <v>55</v>
      </c>
      <c r="D7" s="137">
        <f t="shared" si="0"/>
        <v>165</v>
      </c>
      <c r="E7" s="137">
        <f t="shared" si="1"/>
        <v>165</v>
      </c>
      <c r="F7" s="138">
        <v>0</v>
      </c>
    </row>
    <row r="8" spans="1:6" x14ac:dyDescent="0.55000000000000004">
      <c r="A8" s="135" t="s">
        <v>235</v>
      </c>
      <c r="B8" s="136">
        <v>1</v>
      </c>
      <c r="C8" s="137">
        <v>7</v>
      </c>
      <c r="D8" s="137">
        <f t="shared" si="0"/>
        <v>7</v>
      </c>
      <c r="E8" s="137">
        <f t="shared" si="1"/>
        <v>7</v>
      </c>
      <c r="F8" s="138">
        <v>0</v>
      </c>
    </row>
    <row r="9" spans="1:6" x14ac:dyDescent="0.55000000000000004">
      <c r="A9" s="135" t="s">
        <v>249</v>
      </c>
      <c r="B9" s="136">
        <v>1</v>
      </c>
      <c r="C9" s="137">
        <v>5</v>
      </c>
      <c r="D9" s="137">
        <f t="shared" si="0"/>
        <v>5</v>
      </c>
      <c r="E9" s="137">
        <f t="shared" si="1"/>
        <v>5</v>
      </c>
      <c r="F9" s="138">
        <v>0</v>
      </c>
    </row>
    <row r="10" spans="1:6" ht="30" customHeight="1" x14ac:dyDescent="0.55000000000000004">
      <c r="A10" s="139" t="s">
        <v>256</v>
      </c>
      <c r="B10" s="136">
        <v>1</v>
      </c>
      <c r="C10" s="137">
        <v>210</v>
      </c>
      <c r="D10" s="137">
        <f t="shared" si="0"/>
        <v>210</v>
      </c>
      <c r="E10" s="137">
        <f t="shared" si="1"/>
        <v>210</v>
      </c>
      <c r="F10" s="135">
        <v>90</v>
      </c>
    </row>
    <row r="11" spans="1:6" x14ac:dyDescent="0.55000000000000004">
      <c r="A11" s="234" t="s">
        <v>41</v>
      </c>
      <c r="B11" s="234"/>
      <c r="C11" s="234"/>
      <c r="D11" s="234"/>
      <c r="E11" s="142">
        <f>SUM(E4:E10)</f>
        <v>7212</v>
      </c>
      <c r="F11" s="142">
        <f>SUM(F4:F10)</f>
        <v>600</v>
      </c>
    </row>
    <row r="12" spans="1:6" x14ac:dyDescent="0.55000000000000004">
      <c r="A12" s="234" t="s">
        <v>237</v>
      </c>
      <c r="B12" s="234"/>
      <c r="C12" s="234"/>
      <c r="D12" s="234"/>
      <c r="E12" s="142">
        <f>E11+F11</f>
        <v>7812</v>
      </c>
      <c r="F12" s="142"/>
    </row>
    <row r="13" spans="1:6" x14ac:dyDescent="0.55000000000000004">
      <c r="A13" s="234" t="s">
        <v>238</v>
      </c>
      <c r="B13" s="234"/>
      <c r="C13" s="234"/>
      <c r="D13" s="234"/>
      <c r="E13" s="142">
        <f>E12*7.5%</f>
        <v>585.9</v>
      </c>
      <c r="F13" s="143"/>
    </row>
    <row r="14" spans="1:6" ht="29.4" thickBot="1" x14ac:dyDescent="0.6">
      <c r="A14" s="231" t="s">
        <v>239</v>
      </c>
      <c r="B14" s="231"/>
      <c r="C14" s="231"/>
      <c r="D14" s="231"/>
      <c r="E14" s="144">
        <f>E12+E13</f>
        <v>8397.9</v>
      </c>
      <c r="F14" s="143"/>
    </row>
    <row r="15" spans="1:6" ht="29.4" thickTop="1" x14ac:dyDescent="0.55000000000000004">
      <c r="A15" s="151" t="s">
        <v>240</v>
      </c>
      <c r="B15" s="152"/>
      <c r="C15" s="152"/>
      <c r="D15" s="152"/>
      <c r="E15" s="153"/>
    </row>
    <row r="16" spans="1:6" x14ac:dyDescent="0.55000000000000004">
      <c r="A16" s="154" t="s">
        <v>241</v>
      </c>
      <c r="B16" s="145"/>
      <c r="C16" s="145"/>
      <c r="D16" s="145"/>
      <c r="E16" s="145"/>
    </row>
    <row r="17" spans="1:5" x14ac:dyDescent="0.55000000000000004">
      <c r="A17" s="154" t="s">
        <v>257</v>
      </c>
      <c r="B17" s="145"/>
      <c r="C17" s="145"/>
      <c r="D17" s="145"/>
      <c r="E17" s="145"/>
    </row>
    <row r="18" spans="1:5" x14ac:dyDescent="0.55000000000000004">
      <c r="A18" s="145"/>
      <c r="B18" s="12" t="s">
        <v>6</v>
      </c>
      <c r="C18" s="1"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D18" s="1"/>
      <c r="E18" s="145"/>
    </row>
    <row r="19" spans="1:5" x14ac:dyDescent="0.55000000000000004">
      <c r="B19" s="12" t="s">
        <v>5</v>
      </c>
      <c r="C19" s="1"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D19" s="1"/>
    </row>
    <row r="20" spans="1:5" x14ac:dyDescent="0.55000000000000004">
      <c r="B20" s="12" t="s">
        <v>4</v>
      </c>
      <c r="C20" s="1"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D20" s="1"/>
    </row>
  </sheetData>
  <mergeCells count="7">
    <mergeCell ref="A13:D13"/>
    <mergeCell ref="A14:D14"/>
    <mergeCell ref="A2:B2"/>
    <mergeCell ref="C2:F2"/>
    <mergeCell ref="A1:E1"/>
    <mergeCell ref="A11:D11"/>
    <mergeCell ref="A12:D12"/>
  </mergeCells>
  <pageMargins left="0.59055118110236215" right="0.59055118110236215" top="0.59055118110236215" bottom="0.59055118110236215" header="0.59055118110236215" footer="0.59055118110236215"/>
  <pageSetup paperSize="9" scale="71"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CAF2D-5707-4BEB-9283-F31A31FAC70F}">
  <sheetPr codeName="Sheet19">
    <tabColor rgb="FF00B050"/>
    <pageSetUpPr fitToPage="1"/>
  </sheetPr>
  <dimension ref="A1:F19"/>
  <sheetViews>
    <sheetView zoomScale="70" zoomScaleNormal="70" workbookViewId="0">
      <selection activeCell="F18" sqref="F18"/>
    </sheetView>
  </sheetViews>
  <sheetFormatPr defaultColWidth="9" defaultRowHeight="28.8" x14ac:dyDescent="0.55000000000000004"/>
  <cols>
    <col min="1" max="1" width="79.5" style="133" customWidth="1"/>
    <col min="2" max="2" width="13.69921875" style="133" bestFit="1" customWidth="1"/>
    <col min="3" max="3" width="11.3984375" style="133" customWidth="1"/>
    <col min="4" max="4" width="9.69921875" style="133" customWidth="1"/>
    <col min="5" max="5" width="11.09765625" style="133" customWidth="1"/>
    <col min="6" max="16384" width="9" style="133"/>
  </cols>
  <sheetData>
    <row r="1" spans="1:6" x14ac:dyDescent="0.55000000000000004">
      <c r="A1" s="232" t="s">
        <v>258</v>
      </c>
      <c r="B1" s="232"/>
      <c r="C1" s="232"/>
      <c r="D1" s="232"/>
      <c r="E1" s="232"/>
    </row>
    <row r="2" spans="1:6" x14ac:dyDescent="0.55000000000000004">
      <c r="A2" s="233" t="str">
        <f>IF(หน้าหลัก!B2="","","ชื่องาน "&amp;หน้าหลัก!B2&amp;" ")</f>
        <v xml:space="preserve">ชื่องาน แขวงทางหลวงสงขลาที่ 1 หน้าศูนย์กระจายสินค้า (จุดที่ 2) </v>
      </c>
      <c r="B2" s="233"/>
      <c r="C2" s="233" t="str">
        <f>IF(หน้าหลัก!E5 &lt;&gt;"","เลขแผนผัง "&amp;หน้าหลัก!B5&amp;หน้าหลัก!E5,"")</f>
        <v>เลขแผนผัง TF09-0A3/690796</v>
      </c>
      <c r="D2" s="233"/>
      <c r="E2" s="233"/>
      <c r="F2" s="233"/>
    </row>
    <row r="3" spans="1:6" x14ac:dyDescent="0.55000000000000004">
      <c r="A3" s="155" t="s">
        <v>226</v>
      </c>
      <c r="B3" s="155" t="s">
        <v>227</v>
      </c>
      <c r="C3" s="155" t="s">
        <v>228</v>
      </c>
      <c r="D3" s="155" t="s">
        <v>41</v>
      </c>
      <c r="E3" s="155" t="s">
        <v>229</v>
      </c>
      <c r="F3" s="155" t="s">
        <v>230</v>
      </c>
    </row>
    <row r="4" spans="1:6" x14ac:dyDescent="0.55000000000000004">
      <c r="A4" s="135" t="s">
        <v>259</v>
      </c>
      <c r="B4" s="136">
        <v>1</v>
      </c>
      <c r="C4" s="137">
        <v>380</v>
      </c>
      <c r="D4" s="137">
        <f>B4*C4</f>
        <v>380</v>
      </c>
      <c r="E4" s="137">
        <f>D4</f>
        <v>380</v>
      </c>
      <c r="F4" s="135">
        <v>510</v>
      </c>
    </row>
    <row r="5" spans="1:6" x14ac:dyDescent="0.55000000000000004">
      <c r="A5" s="135" t="s">
        <v>260</v>
      </c>
      <c r="B5" s="136">
        <v>20</v>
      </c>
      <c r="C5" s="137">
        <v>225</v>
      </c>
      <c r="D5" s="137">
        <f t="shared" ref="D5:D9" si="0">B5*C5</f>
        <v>4500</v>
      </c>
      <c r="E5" s="137">
        <f t="shared" ref="E5:E9" si="1">D5</f>
        <v>4500</v>
      </c>
      <c r="F5" s="138">
        <v>0</v>
      </c>
    </row>
    <row r="6" spans="1:6" x14ac:dyDescent="0.55000000000000004">
      <c r="A6" s="135" t="s">
        <v>261</v>
      </c>
      <c r="B6" s="136">
        <v>1</v>
      </c>
      <c r="C6" s="137">
        <v>25</v>
      </c>
      <c r="D6" s="137">
        <f t="shared" si="0"/>
        <v>25</v>
      </c>
      <c r="E6" s="137">
        <f t="shared" si="1"/>
        <v>25</v>
      </c>
      <c r="F6" s="138">
        <v>0</v>
      </c>
    </row>
    <row r="7" spans="1:6" x14ac:dyDescent="0.55000000000000004">
      <c r="A7" s="135" t="s">
        <v>247</v>
      </c>
      <c r="B7" s="136">
        <v>3</v>
      </c>
      <c r="C7" s="137">
        <v>55</v>
      </c>
      <c r="D7" s="137">
        <f t="shared" si="0"/>
        <v>165</v>
      </c>
      <c r="E7" s="137">
        <f t="shared" si="1"/>
        <v>165</v>
      </c>
      <c r="F7" s="138">
        <v>0</v>
      </c>
    </row>
    <row r="8" spans="1:6" x14ac:dyDescent="0.55000000000000004">
      <c r="A8" s="135" t="s">
        <v>235</v>
      </c>
      <c r="B8" s="136">
        <v>1</v>
      </c>
      <c r="C8" s="137">
        <v>7</v>
      </c>
      <c r="D8" s="137">
        <f t="shared" si="0"/>
        <v>7</v>
      </c>
      <c r="E8" s="137">
        <f t="shared" si="1"/>
        <v>7</v>
      </c>
      <c r="F8" s="138">
        <v>0</v>
      </c>
    </row>
    <row r="9" spans="1:6" ht="32.25" customHeight="1" x14ac:dyDescent="0.55000000000000004">
      <c r="A9" s="139" t="s">
        <v>262</v>
      </c>
      <c r="B9" s="140">
        <v>1</v>
      </c>
      <c r="C9" s="141">
        <v>180</v>
      </c>
      <c r="D9" s="141">
        <f t="shared" si="0"/>
        <v>180</v>
      </c>
      <c r="E9" s="137">
        <f t="shared" si="1"/>
        <v>180</v>
      </c>
      <c r="F9" s="135">
        <v>90</v>
      </c>
    </row>
    <row r="10" spans="1:6" x14ac:dyDescent="0.55000000000000004">
      <c r="A10" s="234" t="s">
        <v>41</v>
      </c>
      <c r="B10" s="234"/>
      <c r="C10" s="234"/>
      <c r="D10" s="234"/>
      <c r="E10" s="142">
        <f>SUM(E4:E9)</f>
        <v>5257</v>
      </c>
      <c r="F10" s="142">
        <f>SUM(F4:F9)</f>
        <v>600</v>
      </c>
    </row>
    <row r="11" spans="1:6" x14ac:dyDescent="0.55000000000000004">
      <c r="A11" s="234" t="s">
        <v>237</v>
      </c>
      <c r="B11" s="234"/>
      <c r="C11" s="234"/>
      <c r="D11" s="234"/>
      <c r="E11" s="142">
        <f>E10+F10</f>
        <v>5857</v>
      </c>
      <c r="F11" s="142"/>
    </row>
    <row r="12" spans="1:6" x14ac:dyDescent="0.55000000000000004">
      <c r="A12" s="234" t="s">
        <v>238</v>
      </c>
      <c r="B12" s="234"/>
      <c r="C12" s="234"/>
      <c r="D12" s="234"/>
      <c r="E12" s="142">
        <f>E11*7.5%</f>
        <v>439.27499999999998</v>
      </c>
      <c r="F12" s="143"/>
    </row>
    <row r="13" spans="1:6" ht="29.4" thickBot="1" x14ac:dyDescent="0.6">
      <c r="A13" s="231" t="s">
        <v>239</v>
      </c>
      <c r="B13" s="231"/>
      <c r="C13" s="231"/>
      <c r="D13" s="231"/>
      <c r="E13" s="144">
        <f>E11+E12</f>
        <v>6296.2749999999996</v>
      </c>
      <c r="F13" s="143"/>
    </row>
    <row r="14" spans="1:6" ht="29.4" thickTop="1" x14ac:dyDescent="0.55000000000000004">
      <c r="A14" s="151" t="s">
        <v>240</v>
      </c>
      <c r="B14" s="152"/>
      <c r="C14" s="152"/>
      <c r="D14" s="152"/>
      <c r="E14" s="153"/>
    </row>
    <row r="15" spans="1:6" x14ac:dyDescent="0.55000000000000004">
      <c r="A15" s="154" t="s">
        <v>241</v>
      </c>
      <c r="B15" s="145"/>
      <c r="C15" s="145"/>
      <c r="D15" s="145"/>
      <c r="E15" s="145"/>
    </row>
    <row r="16" spans="1:6" x14ac:dyDescent="0.55000000000000004">
      <c r="A16" s="154" t="s">
        <v>263</v>
      </c>
      <c r="B16" s="145"/>
      <c r="C16" s="145"/>
      <c r="D16" s="145"/>
      <c r="E16" s="145"/>
    </row>
    <row r="17" spans="2:4" x14ac:dyDescent="0.55000000000000004">
      <c r="B17" s="157" t="s">
        <v>6</v>
      </c>
      <c r="C17" s="158"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D17" s="158"/>
    </row>
    <row r="18" spans="2:4" x14ac:dyDescent="0.55000000000000004">
      <c r="B18" s="157" t="s">
        <v>5</v>
      </c>
      <c r="C18" s="158"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D18" s="158"/>
    </row>
    <row r="19" spans="2:4" x14ac:dyDescent="0.55000000000000004">
      <c r="B19" s="157" t="s">
        <v>4</v>
      </c>
      <c r="C19" s="158"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D19" s="158"/>
    </row>
  </sheetData>
  <mergeCells count="7">
    <mergeCell ref="A13:D13"/>
    <mergeCell ref="A1:E1"/>
    <mergeCell ref="A2:B2"/>
    <mergeCell ref="C2:F2"/>
    <mergeCell ref="A10:D10"/>
    <mergeCell ref="A11:D11"/>
    <mergeCell ref="A12:D12"/>
  </mergeCells>
  <pageMargins left="0.59055118110236215" right="0.59055118110236215" top="0.59055118110236215" bottom="0.59055118110236215" header="0.59055118110236215" footer="0.59055118110236215"/>
  <pageSetup paperSize="9" scale="63" fitToHeight="0"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9764E-CD70-40CC-BBA0-11571B2952D1}">
  <sheetPr codeName="Sheet20">
    <tabColor rgb="FF00B050"/>
    <pageSetUpPr fitToPage="1"/>
  </sheetPr>
  <dimension ref="A1:F19"/>
  <sheetViews>
    <sheetView zoomScale="90" zoomScaleNormal="90" workbookViewId="0">
      <selection activeCell="F18" sqref="F18"/>
    </sheetView>
  </sheetViews>
  <sheetFormatPr defaultColWidth="9" defaultRowHeight="28.8" x14ac:dyDescent="0.55000000000000004"/>
  <cols>
    <col min="1" max="1" width="73" style="133" customWidth="1"/>
    <col min="2" max="2" width="13" style="133" bestFit="1" customWidth="1"/>
    <col min="3" max="3" width="11.3984375" style="133" customWidth="1"/>
    <col min="4" max="4" width="9.69921875" style="133" customWidth="1"/>
    <col min="5" max="5" width="11.09765625" style="133" customWidth="1"/>
    <col min="6" max="16384" width="9" style="133"/>
  </cols>
  <sheetData>
    <row r="1" spans="1:6" x14ac:dyDescent="0.55000000000000004">
      <c r="A1" s="233" t="s">
        <v>225</v>
      </c>
      <c r="B1" s="233"/>
      <c r="C1" s="233"/>
      <c r="D1" s="233"/>
      <c r="E1" s="233"/>
      <c r="F1" s="233"/>
    </row>
    <row r="2" spans="1:6" x14ac:dyDescent="0.55000000000000004">
      <c r="A2" s="233" t="str">
        <f>IF(หน้าหลัก!B2="","","ชื่องาน "&amp;หน้าหลัก!B2&amp;" ")</f>
        <v xml:space="preserve">ชื่องาน แขวงทางหลวงสงขลาที่ 1 หน้าศูนย์กระจายสินค้า (จุดที่ 2) </v>
      </c>
      <c r="B2" s="233"/>
      <c r="C2" s="233" t="str">
        <f>IF(หน้าหลัก!E5 &lt;&gt;"","เลขแผนผัง "&amp;หน้าหลัก!B5&amp;หน้าหลัก!E5,"")</f>
        <v>เลขแผนผัง TF09-0A3/690796</v>
      </c>
      <c r="D2" s="233"/>
      <c r="E2" s="233"/>
      <c r="F2" s="233"/>
    </row>
    <row r="3" spans="1:6" x14ac:dyDescent="0.55000000000000004">
      <c r="A3" s="146" t="s">
        <v>226</v>
      </c>
      <c r="B3" s="134" t="s">
        <v>227</v>
      </c>
      <c r="C3" s="134" t="s">
        <v>228</v>
      </c>
      <c r="D3" s="134" t="s">
        <v>41</v>
      </c>
      <c r="E3" s="134" t="s">
        <v>229</v>
      </c>
      <c r="F3" s="134" t="s">
        <v>230</v>
      </c>
    </row>
    <row r="4" spans="1:6" x14ac:dyDescent="0.55000000000000004">
      <c r="A4" s="135" t="s">
        <v>231</v>
      </c>
      <c r="B4" s="136">
        <v>1</v>
      </c>
      <c r="C4" s="137">
        <v>380</v>
      </c>
      <c r="D4" s="137">
        <f>B4*C4</f>
        <v>380</v>
      </c>
      <c r="E4" s="142">
        <f>D4</f>
        <v>380</v>
      </c>
      <c r="F4" s="138">
        <v>510</v>
      </c>
    </row>
    <row r="5" spans="1:6" x14ac:dyDescent="0.55000000000000004">
      <c r="A5" s="135" t="s">
        <v>232</v>
      </c>
      <c r="B5" s="136">
        <v>20</v>
      </c>
      <c r="C5" s="137">
        <v>190</v>
      </c>
      <c r="D5" s="137">
        <f t="shared" ref="D5:D9" si="0">B5*C5</f>
        <v>3800</v>
      </c>
      <c r="E5" s="142">
        <f t="shared" ref="E5:E9" si="1">D5</f>
        <v>3800</v>
      </c>
      <c r="F5" s="138">
        <v>0</v>
      </c>
    </row>
    <row r="6" spans="1:6" x14ac:dyDescent="0.55000000000000004">
      <c r="A6" s="135" t="s">
        <v>233</v>
      </c>
      <c r="B6" s="136">
        <v>1</v>
      </c>
      <c r="C6" s="137">
        <v>150</v>
      </c>
      <c r="D6" s="137">
        <f t="shared" si="0"/>
        <v>150</v>
      </c>
      <c r="E6" s="142">
        <f t="shared" si="1"/>
        <v>150</v>
      </c>
      <c r="F6" s="138">
        <v>0</v>
      </c>
    </row>
    <row r="7" spans="1:6" x14ac:dyDescent="0.55000000000000004">
      <c r="A7" s="135" t="s">
        <v>234</v>
      </c>
      <c r="B7" s="136">
        <v>3</v>
      </c>
      <c r="C7" s="137">
        <v>60</v>
      </c>
      <c r="D7" s="137">
        <f t="shared" si="0"/>
        <v>180</v>
      </c>
      <c r="E7" s="142">
        <f t="shared" si="1"/>
        <v>180</v>
      </c>
      <c r="F7" s="138">
        <v>0</v>
      </c>
    </row>
    <row r="8" spans="1:6" x14ac:dyDescent="0.55000000000000004">
      <c r="A8" s="135" t="s">
        <v>235</v>
      </c>
      <c r="B8" s="136">
        <v>1</v>
      </c>
      <c r="C8" s="137">
        <v>10</v>
      </c>
      <c r="D8" s="137">
        <f t="shared" si="0"/>
        <v>10</v>
      </c>
      <c r="E8" s="142">
        <f t="shared" si="1"/>
        <v>10</v>
      </c>
      <c r="F8" s="138">
        <v>0</v>
      </c>
    </row>
    <row r="9" spans="1:6" x14ac:dyDescent="0.55000000000000004">
      <c r="A9" s="139" t="s">
        <v>236</v>
      </c>
      <c r="B9" s="140">
        <v>1</v>
      </c>
      <c r="C9" s="141">
        <v>190</v>
      </c>
      <c r="D9" s="141">
        <f t="shared" si="0"/>
        <v>190</v>
      </c>
      <c r="E9" s="142">
        <f t="shared" si="1"/>
        <v>190</v>
      </c>
      <c r="F9" s="138">
        <v>90</v>
      </c>
    </row>
    <row r="10" spans="1:6" x14ac:dyDescent="0.55000000000000004">
      <c r="A10" s="234" t="s">
        <v>41</v>
      </c>
      <c r="B10" s="234"/>
      <c r="C10" s="234"/>
      <c r="D10" s="234"/>
      <c r="E10" s="142">
        <f>SUM(E4:E9)</f>
        <v>4710</v>
      </c>
      <c r="F10" s="142">
        <f>SUM(F4:F9)</f>
        <v>600</v>
      </c>
    </row>
    <row r="11" spans="1:6" x14ac:dyDescent="0.55000000000000004">
      <c r="A11" s="234" t="s">
        <v>237</v>
      </c>
      <c r="B11" s="234"/>
      <c r="C11" s="234"/>
      <c r="D11" s="234"/>
      <c r="E11" s="236">
        <f>E10+F10</f>
        <v>5310</v>
      </c>
      <c r="F11" s="236"/>
    </row>
    <row r="12" spans="1:6" x14ac:dyDescent="0.55000000000000004">
      <c r="A12" s="234" t="s">
        <v>238</v>
      </c>
      <c r="B12" s="234"/>
      <c r="C12" s="234"/>
      <c r="D12" s="234"/>
      <c r="E12" s="236">
        <f>E11*7.5%</f>
        <v>398.25</v>
      </c>
      <c r="F12" s="236"/>
    </row>
    <row r="13" spans="1:6" ht="29.4" thickBot="1" x14ac:dyDescent="0.6">
      <c r="A13" s="231" t="s">
        <v>239</v>
      </c>
      <c r="B13" s="231"/>
      <c r="C13" s="231"/>
      <c r="D13" s="231"/>
      <c r="E13" s="237">
        <f>E10+F10+E12</f>
        <v>5708.25</v>
      </c>
      <c r="F13" s="237"/>
    </row>
    <row r="14" spans="1:6" ht="29.4" thickTop="1" x14ac:dyDescent="0.55000000000000004">
      <c r="A14" s="151" t="s">
        <v>240</v>
      </c>
      <c r="B14" s="152"/>
      <c r="C14" s="152"/>
      <c r="D14" s="152"/>
      <c r="E14" s="156"/>
      <c r="F14" s="156"/>
    </row>
    <row r="15" spans="1:6" x14ac:dyDescent="0.55000000000000004">
      <c r="A15" s="154" t="s">
        <v>241</v>
      </c>
      <c r="B15" s="152"/>
      <c r="C15" s="152"/>
      <c r="D15" s="152"/>
      <c r="E15" s="156"/>
      <c r="F15" s="156"/>
    </row>
    <row r="16" spans="1:6" x14ac:dyDescent="0.55000000000000004">
      <c r="A16" s="154" t="s">
        <v>242</v>
      </c>
      <c r="B16" s="145"/>
      <c r="C16" s="145"/>
      <c r="D16" s="145"/>
      <c r="E16" s="145"/>
    </row>
    <row r="17" spans="2:4" x14ac:dyDescent="0.55000000000000004">
      <c r="B17" s="157" t="s">
        <v>6</v>
      </c>
      <c r="C17" s="158"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D17" s="158"/>
    </row>
    <row r="18" spans="2:4" x14ac:dyDescent="0.55000000000000004">
      <c r="B18" s="157" t="s">
        <v>5</v>
      </c>
      <c r="C18" s="158"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D18" s="158"/>
    </row>
    <row r="19" spans="2:4" x14ac:dyDescent="0.55000000000000004">
      <c r="B19" s="157" t="s">
        <v>4</v>
      </c>
      <c r="C19" s="158"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D19" s="158"/>
    </row>
  </sheetData>
  <mergeCells count="10">
    <mergeCell ref="A12:D12"/>
    <mergeCell ref="E12:F12"/>
    <mergeCell ref="A13:D13"/>
    <mergeCell ref="E13:F13"/>
    <mergeCell ref="A1:F1"/>
    <mergeCell ref="A2:B2"/>
    <mergeCell ref="C2:F2"/>
    <mergeCell ref="A10:D10"/>
    <mergeCell ref="A11:D11"/>
    <mergeCell ref="E11:F11"/>
  </mergeCells>
  <pageMargins left="0.59055118110236215" right="0.59055118110236215" top="0.59055118110236215" bottom="0.59055118110236215" header="0.59055118110236215" footer="0.59055118110236215"/>
  <pageSetup paperSize="9" scale="66"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4314C-D504-46E1-A667-EBD0EED48856}">
  <sheetPr codeName="Sheet10"/>
  <dimension ref="A1:C13"/>
  <sheetViews>
    <sheetView workbookViewId="0">
      <selection activeCell="B18" sqref="B18"/>
    </sheetView>
  </sheetViews>
  <sheetFormatPr defaultRowHeight="13.8" x14ac:dyDescent="0.25"/>
  <cols>
    <col min="1" max="1" width="19.8984375" bestFit="1" customWidth="1"/>
    <col min="2" max="2" width="39.19921875" bestFit="1" customWidth="1"/>
    <col min="3" max="3" width="10.09765625" bestFit="1" customWidth="1"/>
  </cols>
  <sheetData>
    <row r="1" spans="1:3" ht="24.6" x14ac:dyDescent="0.25">
      <c r="A1" s="77" t="s">
        <v>131</v>
      </c>
      <c r="B1" s="77" t="s">
        <v>153</v>
      </c>
      <c r="C1" s="77" t="s">
        <v>132</v>
      </c>
    </row>
    <row r="2" spans="1:3" ht="24.6" x14ac:dyDescent="0.7">
      <c r="A2" s="63" t="s">
        <v>154</v>
      </c>
      <c r="B2" s="63" t="s">
        <v>129</v>
      </c>
      <c r="C2" s="63">
        <v>1</v>
      </c>
    </row>
    <row r="3" spans="1:3" ht="24.6" x14ac:dyDescent="0.7">
      <c r="A3" s="63" t="s">
        <v>155</v>
      </c>
      <c r="B3" s="63" t="s">
        <v>63</v>
      </c>
      <c r="C3" s="63">
        <v>1</v>
      </c>
    </row>
    <row r="4" spans="1:3" ht="24.6" x14ac:dyDescent="0.7">
      <c r="A4" s="63" t="s">
        <v>156</v>
      </c>
      <c r="B4" s="63" t="s">
        <v>39</v>
      </c>
      <c r="C4" s="63">
        <v>1</v>
      </c>
    </row>
    <row r="5" spans="1:3" ht="24.6" x14ac:dyDescent="0.7">
      <c r="A5" s="63" t="s">
        <v>279</v>
      </c>
      <c r="B5" s="63" t="s">
        <v>283</v>
      </c>
      <c r="C5" s="63">
        <v>1</v>
      </c>
    </row>
    <row r="6" spans="1:3" ht="24.6" x14ac:dyDescent="0.7">
      <c r="A6" s="63" t="s">
        <v>280</v>
      </c>
      <c r="B6" s="63" t="s">
        <v>284</v>
      </c>
      <c r="C6" s="63">
        <v>1</v>
      </c>
    </row>
    <row r="7" spans="1:3" ht="24.6" x14ac:dyDescent="0.7">
      <c r="A7" s="63" t="s">
        <v>281</v>
      </c>
      <c r="B7" s="63" t="s">
        <v>285</v>
      </c>
      <c r="C7" s="63">
        <v>1</v>
      </c>
    </row>
    <row r="8" spans="1:3" ht="24.6" x14ac:dyDescent="0.7">
      <c r="A8" s="63" t="s">
        <v>282</v>
      </c>
      <c r="B8" s="63" t="s">
        <v>286</v>
      </c>
      <c r="C8" s="63">
        <v>1</v>
      </c>
    </row>
    <row r="9" spans="1:3" ht="24.6" x14ac:dyDescent="0.7">
      <c r="A9" s="63" t="s">
        <v>337</v>
      </c>
      <c r="B9" s="63" t="s">
        <v>283</v>
      </c>
      <c r="C9" s="63">
        <v>1</v>
      </c>
    </row>
    <row r="10" spans="1:3" ht="24.6" x14ac:dyDescent="0.7">
      <c r="A10" s="63" t="s">
        <v>338</v>
      </c>
      <c r="B10" s="63" t="s">
        <v>284</v>
      </c>
      <c r="C10" s="63">
        <v>1</v>
      </c>
    </row>
    <row r="11" spans="1:3" ht="24.6" x14ac:dyDescent="0.7">
      <c r="A11" s="63" t="s">
        <v>339</v>
      </c>
      <c r="B11" s="63" t="s">
        <v>285</v>
      </c>
      <c r="C11" s="63">
        <v>1</v>
      </c>
    </row>
    <row r="12" spans="1:3" ht="24.6" x14ac:dyDescent="0.7">
      <c r="A12" s="63" t="s">
        <v>340</v>
      </c>
      <c r="B12" s="63" t="s">
        <v>286</v>
      </c>
      <c r="C12" s="63">
        <v>1</v>
      </c>
    </row>
    <row r="13" spans="1:3" ht="24.6" x14ac:dyDescent="0.7">
      <c r="A13" s="63" t="s">
        <v>343</v>
      </c>
      <c r="B13" s="63" t="s">
        <v>344</v>
      </c>
      <c r="C13" s="63">
        <v>1</v>
      </c>
    </row>
  </sheetData>
  <phoneticPr fontId="1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7A06B-5EF9-4E03-8BD4-833211145288}">
  <sheetPr codeName="Sheet13"/>
  <dimension ref="B1:J20"/>
  <sheetViews>
    <sheetView workbookViewId="0">
      <selection activeCell="B20" sqref="B20"/>
    </sheetView>
  </sheetViews>
  <sheetFormatPr defaultRowHeight="13.8" x14ac:dyDescent="0.25"/>
  <cols>
    <col min="2" max="2" width="48.59765625" customWidth="1"/>
    <col min="3" max="3" width="12.59765625" customWidth="1"/>
    <col min="4" max="4" width="16.59765625" customWidth="1"/>
    <col min="5" max="5" width="10.59765625" customWidth="1"/>
    <col min="6" max="6" width="12.69921875" customWidth="1"/>
    <col min="7" max="7" width="23.19921875" bestFit="1" customWidth="1"/>
    <col min="8" max="8" width="12.3984375" customWidth="1"/>
  </cols>
  <sheetData>
    <row r="1" spans="2:10" ht="24.6" x14ac:dyDescent="0.7">
      <c r="B1" s="124" t="s">
        <v>176</v>
      </c>
      <c r="G1" t="s">
        <v>181</v>
      </c>
    </row>
    <row r="2" spans="2:10" ht="24.6" hidden="1" x14ac:dyDescent="0.7">
      <c r="B2" s="124" t="s">
        <v>200</v>
      </c>
      <c r="C2" t="s">
        <v>201</v>
      </c>
      <c r="D2" t="s">
        <v>202</v>
      </c>
      <c r="E2" t="s">
        <v>203</v>
      </c>
    </row>
    <row r="3" spans="2:10" ht="21" x14ac:dyDescent="0.4">
      <c r="B3" s="118" t="s">
        <v>168</v>
      </c>
      <c r="C3" s="118" t="s">
        <v>16</v>
      </c>
      <c r="D3" s="119">
        <f ca="1">H4-H3</f>
        <v>205011.3</v>
      </c>
      <c r="E3" s="118" t="s">
        <v>0</v>
      </c>
      <c r="G3" s="118" t="s">
        <v>175</v>
      </c>
      <c r="H3" s="123">
        <f ca="1">IFERROR(SUMIF(INDIRECT("summary_report!C:C"), "*สมทบแรงสูง*", INDIRECT("summary_report!I:I")), "")</f>
        <v>3000</v>
      </c>
      <c r="I3" s="123" t="s">
        <v>177</v>
      </c>
    </row>
    <row r="4" spans="2:10" ht="21" x14ac:dyDescent="0.4">
      <c r="B4" s="118" t="s">
        <v>169</v>
      </c>
      <c r="C4" s="118" t="s">
        <v>16</v>
      </c>
      <c r="D4" s="119">
        <f ca="1">H3</f>
        <v>3000</v>
      </c>
      <c r="E4" s="118" t="s">
        <v>0</v>
      </c>
      <c r="G4" s="118" t="s">
        <v>179</v>
      </c>
      <c r="H4" s="123">
        <f ca="1">IFERROR(
    INDEX(INDIRECT("summary_report!I1:I1000"),
    MATCH("*รวมเงินค่าใช้จ่ายคิดจากผู้ใช้ไฟ*", INDIRECT("summary_report!A1:A1000"), 0)),
"")</f>
        <v>208011.3</v>
      </c>
      <c r="I4" s="123" t="s">
        <v>177</v>
      </c>
    </row>
    <row r="5" spans="2:10" ht="21" x14ac:dyDescent="0.4">
      <c r="B5" s="118" t="s">
        <v>165</v>
      </c>
      <c r="C5" s="118" t="s">
        <v>16</v>
      </c>
      <c r="D5" s="119">
        <f ca="1">D4+D3</f>
        <v>208011.3</v>
      </c>
      <c r="E5" s="118" t="s">
        <v>0</v>
      </c>
      <c r="G5" s="118" t="s">
        <v>178</v>
      </c>
      <c r="H5" s="123">
        <f ca="1">IFERROR(
    INDEX(INDIRECT("summary_report!I1:I1000"),
    MATCH("*รวมเงินค่าใช้จ่ายคิดจากผู้ใช้ไฟ รวมภาษีมูลค่าเพิ่ม*", INDIRECT("summary_report!A1:A1000"), 0)),
"")</f>
        <v>222572.09</v>
      </c>
      <c r="I5" s="123" t="s">
        <v>177</v>
      </c>
    </row>
    <row r="6" spans="2:10" ht="21" x14ac:dyDescent="0.4">
      <c r="B6" s="118" t="s">
        <v>166</v>
      </c>
      <c r="C6" s="118" t="s">
        <v>16</v>
      </c>
      <c r="D6" s="119">
        <f ca="1">ROUND(D5*0.07,2)</f>
        <v>14560.79</v>
      </c>
      <c r="E6" s="118" t="s">
        <v>0</v>
      </c>
    </row>
    <row r="7" spans="2:10" ht="24.6" x14ac:dyDescent="0.7">
      <c r="B7" s="120" t="s">
        <v>167</v>
      </c>
      <c r="C7" s="120" t="s">
        <v>16</v>
      </c>
      <c r="D7" s="121">
        <f ca="1">D5+D6</f>
        <v>222572.09</v>
      </c>
      <c r="E7" s="120" t="s">
        <v>0</v>
      </c>
      <c r="G7" s="201">
        <f ca="1">Table2[[#This Row],[Column3]]-5350</f>
        <v>217222.09</v>
      </c>
      <c r="H7" s="63"/>
      <c r="I7" s="63"/>
    </row>
    <row r="8" spans="2:10" ht="24.6" x14ac:dyDescent="0.7">
      <c r="B8" s="129"/>
      <c r="C8" s="127"/>
      <c r="D8" s="127"/>
      <c r="E8" s="128" t="str">
        <f ca="1">"("&amp;BAHTTEXT(D7)&amp;")"</f>
        <v>(สองแสนสองหมื่นสองพันห้าร้อยเจ็ดสิบสองบาทเก้าสตางค์)</v>
      </c>
      <c r="G8" s="63" t="str">
        <f ca="1">BAHTTEXT(G7)</f>
        <v>สองแสนหนึ่งหมื่นเจ็ดพันสองร้อยยี่สิบสองบาทเก้าสตางค์</v>
      </c>
      <c r="H8" s="63"/>
      <c r="I8" s="63"/>
    </row>
    <row r="10" spans="2:10" ht="24.6" x14ac:dyDescent="0.7">
      <c r="B10" s="124" t="s">
        <v>180</v>
      </c>
    </row>
    <row r="11" spans="2:10" ht="24.6" hidden="1" x14ac:dyDescent="0.7">
      <c r="B11" s="124" t="s">
        <v>200</v>
      </c>
      <c r="C11" t="s">
        <v>201</v>
      </c>
      <c r="D11" t="s">
        <v>202</v>
      </c>
      <c r="E11" t="s">
        <v>203</v>
      </c>
    </row>
    <row r="12" spans="2:10" ht="21" x14ac:dyDescent="0.4">
      <c r="B12" s="118" t="s">
        <v>168</v>
      </c>
      <c r="C12" s="118" t="s">
        <v>16</v>
      </c>
      <c r="D12" s="122">
        <f ca="1">H4-H3</f>
        <v>205011.3</v>
      </c>
      <c r="E12" s="118" t="s">
        <v>0</v>
      </c>
      <c r="G12" s="190"/>
    </row>
    <row r="13" spans="2:10" ht="21" x14ac:dyDescent="0.4">
      <c r="B13" s="118" t="s">
        <v>166</v>
      </c>
      <c r="C13" s="118" t="s">
        <v>16</v>
      </c>
      <c r="D13" s="119">
        <f ca="1">ROUND(D12*0.07,2)</f>
        <v>14350.79</v>
      </c>
      <c r="E13" s="118" t="s">
        <v>0</v>
      </c>
    </row>
    <row r="14" spans="2:10" ht="24.6" x14ac:dyDescent="0.7">
      <c r="B14" s="120" t="s">
        <v>167</v>
      </c>
      <c r="C14" s="120" t="s">
        <v>16</v>
      </c>
      <c r="D14" s="121">
        <f ca="1">D12+D13</f>
        <v>219362.09</v>
      </c>
      <c r="E14" s="120" t="s">
        <v>0</v>
      </c>
      <c r="G14" s="201">
        <f ca="1">Table3[[#This Row],[Column3]]-5350</f>
        <v>214012.09</v>
      </c>
      <c r="H14" s="63"/>
      <c r="I14" s="63"/>
      <c r="J14" s="201"/>
    </row>
    <row r="15" spans="2:10" ht="24.6" x14ac:dyDescent="0.7">
      <c r="B15" s="130"/>
      <c r="C15" s="130"/>
      <c r="D15" s="130"/>
      <c r="E15" s="130" t="str">
        <f ca="1">"("&amp;BAHTTEXT(D14)&amp;")"</f>
        <v>(สองแสนหนึ่งหมื่นเก้าพันสามร้อยหกสิบสองบาทเก้าสตางค์)</v>
      </c>
      <c r="G15" s="63" t="str">
        <f ca="1">BAHTTEXT(G14)</f>
        <v>สองแสนหนึ่งหมื่นสี่พันสิบสองบาทเก้าสตางค์</v>
      </c>
      <c r="H15" s="63"/>
      <c r="I15" s="63"/>
      <c r="J15" s="63"/>
    </row>
    <row r="18" spans="2:5" x14ac:dyDescent="0.25">
      <c r="B18" s="192" t="s">
        <v>347</v>
      </c>
      <c r="C18" s="192"/>
      <c r="D18" s="192"/>
      <c r="E18" s="192"/>
    </row>
    <row r="20" spans="2:5" ht="21" x14ac:dyDescent="0.6">
      <c r="B20" s="81"/>
      <c r="C20" s="81"/>
      <c r="D20" s="81"/>
      <c r="E20" s="81"/>
    </row>
  </sheetData>
  <pageMargins left="0.7" right="0.7" top="0.75" bottom="0.75" header="0.3" footer="0.3"/>
  <pageSetup paperSize="9" orientation="portrait" r:id="rId1"/>
  <tableParts count="3">
    <tablePart r:id="rId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BD7B9-1F9A-40C0-86BD-F05D3A9E725E}">
  <sheetPr codeName="Sheet1"/>
  <dimension ref="A1:K10"/>
  <sheetViews>
    <sheetView zoomScaleNormal="100" workbookViewId="0">
      <selection activeCell="A8" sqref="A8:B10"/>
    </sheetView>
  </sheetViews>
  <sheetFormatPr defaultRowHeight="13.8" x14ac:dyDescent="0.25"/>
  <cols>
    <col min="1" max="1" width="10.59765625" customWidth="1"/>
    <col min="2" max="2" width="7.09765625" customWidth="1"/>
    <col min="3" max="3" width="5" customWidth="1"/>
    <col min="4" max="4" width="6.3984375" customWidth="1"/>
    <col min="5" max="5" width="6.09765625" customWidth="1"/>
    <col min="7" max="7" width="10.09765625" bestFit="1" customWidth="1"/>
    <col min="10" max="10" width="6.59765625" customWidth="1"/>
    <col min="11" max="11" width="9" hidden="1" customWidth="1"/>
  </cols>
  <sheetData>
    <row r="1" spans="1:11" ht="25.2" thickBot="1" x14ac:dyDescent="0.75">
      <c r="A1" s="239" t="s">
        <v>44</v>
      </c>
      <c r="B1" s="239"/>
      <c r="C1" s="239"/>
      <c r="D1" s="239"/>
      <c r="E1" s="239"/>
      <c r="F1" s="239"/>
      <c r="G1" s="239"/>
      <c r="H1" s="239"/>
      <c r="I1" s="239"/>
      <c r="J1" s="239"/>
      <c r="K1" s="239"/>
    </row>
    <row r="2" spans="1:11" ht="25.2" thickTop="1" x14ac:dyDescent="0.7">
      <c r="A2" s="64" t="s">
        <v>34</v>
      </c>
      <c r="B2" s="238" t="s">
        <v>404</v>
      </c>
      <c r="C2" s="238"/>
      <c r="D2" s="238"/>
      <c r="E2" s="238"/>
      <c r="F2" s="238"/>
      <c r="G2" s="238"/>
      <c r="H2" s="238"/>
      <c r="I2" s="238"/>
      <c r="J2" s="238"/>
      <c r="K2" s="63"/>
    </row>
    <row r="3" spans="1:11" ht="24.6" x14ac:dyDescent="0.7">
      <c r="A3" s="63"/>
      <c r="B3" s="64" t="s">
        <v>3</v>
      </c>
      <c r="C3" s="64" t="s">
        <v>164</v>
      </c>
      <c r="D3" s="64" t="s">
        <v>48</v>
      </c>
      <c r="E3" s="64" t="s">
        <v>49</v>
      </c>
      <c r="F3" s="64" t="s">
        <v>50</v>
      </c>
      <c r="G3" s="64" t="s">
        <v>51</v>
      </c>
      <c r="H3" s="64" t="s">
        <v>52</v>
      </c>
      <c r="I3" s="64" t="s">
        <v>53</v>
      </c>
      <c r="J3" s="64"/>
      <c r="K3" s="62"/>
    </row>
    <row r="4" spans="1:11" ht="24.6" x14ac:dyDescent="0.7">
      <c r="A4" s="64" t="s">
        <v>47</v>
      </c>
      <c r="B4" s="115" t="s">
        <v>405</v>
      </c>
      <c r="C4" s="63"/>
      <c r="D4" s="63"/>
      <c r="E4" s="63"/>
      <c r="F4" s="63" t="s">
        <v>322</v>
      </c>
      <c r="G4" s="63" t="s">
        <v>323</v>
      </c>
      <c r="H4" s="63" t="s">
        <v>199</v>
      </c>
      <c r="I4" s="241">
        <v>90110</v>
      </c>
      <c r="J4" s="241"/>
      <c r="K4" s="62"/>
    </row>
    <row r="5" spans="1:11" ht="24.6" x14ac:dyDescent="0.7">
      <c r="A5" s="64" t="s">
        <v>58</v>
      </c>
      <c r="B5" s="238" t="s">
        <v>60</v>
      </c>
      <c r="C5" s="238"/>
      <c r="D5" s="238"/>
      <c r="E5" s="116" t="s">
        <v>407</v>
      </c>
      <c r="F5" s="64" t="s">
        <v>59</v>
      </c>
      <c r="G5" s="238" t="s">
        <v>172</v>
      </c>
      <c r="H5" s="238"/>
      <c r="I5" s="243" t="s">
        <v>406</v>
      </c>
      <c r="J5" s="244"/>
      <c r="K5" s="62"/>
    </row>
    <row r="6" spans="1:11" ht="24.6" x14ac:dyDescent="0.7">
      <c r="A6" s="64" t="s">
        <v>149</v>
      </c>
      <c r="B6" s="245" t="s">
        <v>408</v>
      </c>
      <c r="C6" s="245"/>
      <c r="D6" s="245"/>
      <c r="E6" s="245"/>
      <c r="F6" s="64" t="s">
        <v>151</v>
      </c>
      <c r="G6" s="112">
        <v>25398</v>
      </c>
      <c r="H6" s="89"/>
      <c r="I6" s="90"/>
      <c r="J6" s="90"/>
      <c r="K6" s="62"/>
    </row>
    <row r="7" spans="1:11" ht="24.6" x14ac:dyDescent="0.7">
      <c r="A7" s="63"/>
      <c r="D7" s="242" t="s">
        <v>56</v>
      </c>
      <c r="E7" s="242"/>
      <c r="F7" s="242" t="s">
        <v>57</v>
      </c>
      <c r="G7" s="242"/>
      <c r="H7" s="242" t="s">
        <v>55</v>
      </c>
      <c r="I7" s="242"/>
      <c r="J7" s="242"/>
    </row>
    <row r="8" spans="1:11" ht="24.6" x14ac:dyDescent="0.7">
      <c r="A8" s="240" t="s">
        <v>54</v>
      </c>
      <c r="B8" s="240"/>
      <c r="C8" s="110"/>
      <c r="D8" s="238">
        <f>INDEX('DB ชื่อพนักงาน'!A:A, MATCH(F8, 'DB ชื่อพนักงาน'!D:D, 0))</f>
        <v>512977</v>
      </c>
      <c r="E8" s="238"/>
      <c r="F8" s="238" t="s">
        <v>93</v>
      </c>
      <c r="G8" s="238"/>
      <c r="H8" s="238" t="str">
        <f>VLOOKUP(F8, 'DB ชื่อพนักงาน'!D:F, 2, FALSE)</f>
        <v>แก้วมูณี</v>
      </c>
      <c r="I8" s="238"/>
      <c r="J8" s="238"/>
    </row>
    <row r="9" spans="1:11" ht="24.6" x14ac:dyDescent="0.7">
      <c r="A9" s="240" t="s">
        <v>5</v>
      </c>
      <c r="B9" s="240"/>
      <c r="C9" s="110"/>
      <c r="D9" s="238">
        <f>INDEX('DB ชื่อพนักงาน'!A:A, MATCH(F9, 'DB ชื่อพนักงาน'!D:D, 0))</f>
        <v>512977</v>
      </c>
      <c r="E9" s="238"/>
      <c r="F9" s="238" t="s">
        <v>93</v>
      </c>
      <c r="G9" s="238"/>
      <c r="H9" s="238" t="str">
        <f>VLOOKUP(F9, 'DB ชื่อพนักงาน'!D:F, 2, FALSE)</f>
        <v>แก้วมูณี</v>
      </c>
      <c r="I9" s="238"/>
      <c r="J9" s="238"/>
    </row>
    <row r="10" spans="1:11" ht="24.6" x14ac:dyDescent="0.7">
      <c r="A10" s="240" t="s">
        <v>4</v>
      </c>
      <c r="B10" s="240"/>
      <c r="C10" s="110"/>
      <c r="D10" s="238">
        <f>INDEX('DB ชื่อพนักงาน'!A:A, MATCH(F10, 'DB ชื่อพนักงาน'!D:D, 0))</f>
        <v>501396</v>
      </c>
      <c r="E10" s="238"/>
      <c r="F10" s="238" t="s">
        <v>100</v>
      </c>
      <c r="G10" s="238"/>
      <c r="H10" s="238" t="str">
        <f>VLOOKUP(F10, 'DB ชื่อพนักงาน'!D:F, 2, FALSE)</f>
        <v>นาพนัง</v>
      </c>
      <c r="I10" s="238"/>
      <c r="J10" s="238"/>
    </row>
  </sheetData>
  <mergeCells count="22">
    <mergeCell ref="F7:G7"/>
    <mergeCell ref="D7:E7"/>
    <mergeCell ref="B5:D5"/>
    <mergeCell ref="G5:H5"/>
    <mergeCell ref="I5:J5"/>
    <mergeCell ref="B6:E6"/>
    <mergeCell ref="F8:G8"/>
    <mergeCell ref="F9:G9"/>
    <mergeCell ref="F10:G10"/>
    <mergeCell ref="A1:K1"/>
    <mergeCell ref="B2:J2"/>
    <mergeCell ref="A8:B8"/>
    <mergeCell ref="A9:B9"/>
    <mergeCell ref="A10:B10"/>
    <mergeCell ref="D8:E8"/>
    <mergeCell ref="D9:E9"/>
    <mergeCell ref="D10:E10"/>
    <mergeCell ref="I4:J4"/>
    <mergeCell ref="H7:J7"/>
    <mergeCell ref="H8:J8"/>
    <mergeCell ref="H9:J9"/>
    <mergeCell ref="H10:J10"/>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271C97E3-9CBC-4141-9DF4-0F78595816E7}">
          <x14:formula1>
            <xm:f>'DB ชื่อพนักงาน'!$D$2:$D$11</xm:f>
          </x14:formula1>
          <xm:sqref>F8:G10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20A5D-A371-41C1-9747-CD5C215BE7A3}">
  <sheetPr codeName="Sheet16"/>
  <dimension ref="A1:C86"/>
  <sheetViews>
    <sheetView topLeftCell="A58" workbookViewId="0">
      <selection activeCell="E87" sqref="E87"/>
    </sheetView>
  </sheetViews>
  <sheetFormatPr defaultRowHeight="13.8" x14ac:dyDescent="0.25"/>
  <cols>
    <col min="1" max="1" width="14.5" customWidth="1"/>
    <col min="2" max="2" width="19.8984375" customWidth="1"/>
  </cols>
  <sheetData>
    <row r="1" spans="1:2" x14ac:dyDescent="0.25">
      <c r="A1" t="s">
        <v>150</v>
      </c>
      <c r="B1" s="91"/>
    </row>
    <row r="2" spans="1:2" x14ac:dyDescent="0.25">
      <c r="A2" s="199" t="str">
        <f>IF(tableexpend!L20="ทั้งหมด","FOR","")</f>
        <v>FOR</v>
      </c>
      <c r="B2" s="91"/>
    </row>
    <row r="3" spans="1:2" x14ac:dyDescent="0.25">
      <c r="A3" s="199" t="str">
        <f>IF(tableexpend!L20="ทั้งหมด","Topic","")</f>
        <v>Topic</v>
      </c>
      <c r="B3" t="str">
        <f>"ขออนุมัติขยายเขตระบบจำหน่ายไฟฟ้าให้กับ "
&amp;IF(หน้าหลัก!B2="","",หน้าหลัก!B2&amp;" ")
&amp;"บริเวณ  "
&amp;IF(หน้าหลัก!B4="","","บ้านเลขที่ "&amp;หน้าหลัก!B4&amp;" ")
&amp;IF(หน้าหลัก!D4="","","ซอย"&amp;หน้าหลัก!D4&amp;"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f>
        <v xml:space="preserve">ขออนุมัติขยายเขตระบบจำหน่ายไฟฟ้าให้กับ แขวงทางหลวงสงขลาที่ 1 หน้าศูนย์กระจายสินค้า (จุดที่ 2) บริเวณ  บ้านเลขที่ หน้าศูนย์กระจายสินค้า (จุดที่ 2) ตำบลท่าช้าง อำเภอบางกล่ำ จังหวัดสงขลา </v>
      </c>
    </row>
    <row r="4" spans="1:2" x14ac:dyDescent="0.25">
      <c r="A4" s="199" t="str">
        <f>IF(tableexpend!L20="ทั้งหมด","REF","")</f>
        <v>REF</v>
      </c>
      <c r="B4" t="str">
        <f>IF(หน้าหลัก!B2="","","อ้างถึงคำร้องขยายเขตฯ เลขที่ ")
&amp;IF(หน้าหลัก!B6="","",หน้าหลัก!B6&amp;" ")
&amp;IF(หน้าหลัก!B4="","","ลว. ")
&amp;IF(หน้าหลัก!G6="","",TEXT( หน้าหลัก!G6,"[$-th-TH]d mmm yy"))</f>
        <v>อ้างถึงคำร้องขยายเขตฯ เลขที่ LHAY69002507 ลว. 14 ก.ค. 69</v>
      </c>
    </row>
    <row r="5" spans="1:2" x14ac:dyDescent="0.25">
      <c r="A5" s="199" t="str">
        <f>IF(tableexpend!L20="ทั้งหมด","Atach1","")</f>
        <v>Atach1</v>
      </c>
      <c r="B5" t="str">
        <f>IF(หน้าหลัก!B2="","","1. แผนผังแบบเลขที่ "&amp;หน้าหลัก!B5&amp;หน้าหลัก!E5&amp;" จำนวน 1 แผ่น  ")</f>
        <v xml:space="preserve">1. แผนผังแบบเลขที่ TF09-0A3/690796 จำนวน 1 แผ่น  </v>
      </c>
    </row>
    <row r="6" spans="1:2" x14ac:dyDescent="0.25">
      <c r="A6" s="199" t="str">
        <f>IF(tableexpend!L20="ทั้งหมด","Data1","")</f>
        <v>Data1</v>
      </c>
      <c r="B6" t="str">
        <f>IF(หน้าหลัก!B2="","","ตามคำร้องขยายเขตระบบจำหน่ายไฟฟ้า เลขที่ ")
&amp;หน้าหลัก!B6 &amp; " ลว. " &amp;TEXT( หน้าหลัก!G6,"[$-th-TH]d mmm yy") &amp; " ให้กับ "
&amp;IF(หน้าหลัก!B2="","",หน้าหลัก!B2&amp;" บริเวณ ")
&amp;IF(หน้าหลัก!B4="","","บ้านเลขที่ "&amp;หน้าหลัก!B4&amp;" ")
&amp;IF(หน้าหลัก!D4="","","ซอย"&amp;หน้าหลัก!D4&amp;"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
&amp;IF(หน้าหลัก!I4="","",หน้าหลัก!I4) &amp; " นั้น"</f>
        <v>ตามคำร้องขยายเขตระบบจำหน่ายไฟฟ้า เลขที่ LHAY69002507 ลว. 14 ก.ค. 69 ให้กับ แขวงทางหลวงสงขลาที่ 1 หน้าศูนย์กระจายสินค้า (จุดที่ 2) บริเวณ บ้านเลขที่ หน้าศูนย์กระจายสินค้า (จุดที่ 2) ตำบลท่าช้าง อำเภอบางกล่ำ จังหวัดสงขลา 90110 นั้น</v>
      </c>
    </row>
    <row r="7" spans="1:2" s="198" customFormat="1" x14ac:dyDescent="0.25">
      <c r="A7" s="198" t="s">
        <v>352</v>
      </c>
    </row>
    <row r="8" spans="1:2" s="200" customFormat="1" x14ac:dyDescent="0.25">
      <c r="A8" s="200" t="s">
        <v>354</v>
      </c>
    </row>
    <row r="9" spans="1:2" x14ac:dyDescent="0.25">
      <c r="A9" s="199" t="str">
        <f>IF(tableexpend!L19="กฟภ ดำเนินการทั้งหมด (มป)","Data2","")</f>
        <v/>
      </c>
      <c r="B9" t="str">
        <f>"1.1 สถานที่ขอใช้ไฟเป็น "
&amp;IF(หน้าหลัก!B2="","",หน้าหลัก!B2&amp;" บริเวณ ")
&amp;IF(หน้าหลัก!B4="","","บ้านเลขที่ "&amp;หน้าหลัก!B4&amp;" ")
&amp;IF(หน้าหลัก!D4="","","ซอย "&amp;หน้าหลัก!D4&amp;"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
&amp;"         
1.2  ลูกค้ามีความประสงค์ขยายเขต.....โดยให้การไฟฟ้าส่วนภูมิภาคเป็นผู้ดำเนินการให้ทั้งหมด "
&amp;"
1.3  ระบบจำหน่ายแรงสูงของการไฟฟ้าส่วนภูมิภาครับไฟจากสถานีจ่ายไฟ…..... วงจรที่ …. อยู่ห่างจากสถานีประมาณ ….. กม. "
&amp;"
1.4  สภาพพื้นที่หน้างาน การคมนาคมขนส่งไม่สะดวก เห็นควรคิดค่าแรงกรณี ….....  "</f>
        <v xml:space="preserve">1.1 สถานที่ขอใช้ไฟเป็น แขวงทางหลวงสงขลาที่ 1 หน้าศูนย์กระจายสินค้า (จุดที่ 2) บริเวณ บ้านเลขที่ หน้าศูนย์กระจายสินค้า (จุดที่ 2) ตำบลท่าช้าง อำเภอบางกล่ำ จังหวัดสงขลา          
1.2  ลูกค้ามีความประสงค์ขยายเขต.....โดยให้การไฟฟ้าส่วนภูมิภาคเป็นผู้ดำเนินการให้ทั้งหมด 
1.3  ระบบจำหน่ายแรงสูงของการไฟฟ้าส่วนภูมิภาครับไฟจากสถานีจ่ายไฟ…..... วงจรที่ …. อยู่ห่างจากสถานีประมาณ ….. กม. 
1.4  สภาพพื้นที่หน้างาน การคมนาคมขนส่งไม่สะดวก เห็นควรคิดค่าแรงกรณี ….....  </v>
      </c>
    </row>
    <row r="10" spans="1:2" s="200" customFormat="1" x14ac:dyDescent="0.25">
      <c r="A10" s="200" t="s">
        <v>355</v>
      </c>
    </row>
    <row r="11" spans="1:2" x14ac:dyDescent="0.25">
      <c r="A11" s="199" t="str">
        <f>IF(tableexpend!L19="ลูกค้าดำเนินการทั้งหมด (มป)","Data2","")</f>
        <v/>
      </c>
      <c r="B11" t="str">
        <f>"1.1 สถานที่ขอใช้ไฟเป็น "
&amp;IF(หน้าหลัก!B2="","",หน้าหลัก!B2&amp;" บริเวณ ")
&amp;IF(หน้าหลัก!B4="","","บ้านเลขที่ "&amp;หน้าหลัก!B4&amp;" ")
&amp;IF(หน้าหลัก!D4="","","ซอย "&amp;หน้าหลัก!D4&amp;"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
&amp;"         
1.2  ลูกค้ามีความประสงค์.....   "
&amp;"
1.3  ระบบจำหน่ายแรงสูงของการไฟฟ้าส่วนภูมิภาครับไฟจากสถานีจ่ายไฟ…..... วงจรที่ …. อยู่ห่างจากสถานีประมาณ ….. กม. "
&amp;"
1.4  สภาพพื้นที่หน้างาน การคมนาคมขนส่งไม่สะดวก เห็นควรคิดค่าแรงกรณี ….....  "
&amp;"
"&amp;B12
&amp;"
"&amp;B13
&amp;"
"&amp;B14&amp;B15</f>
        <v>1.1 สถานที่ขอใช้ไฟเป็น แขวงทางหลวงสงขลาที่ 1 หน้าศูนย์กระจายสินค้า (จุดที่ 2) บริเวณ บ้านเลขที่ หน้าศูนย์กระจายสินค้า (จุดที่ 2) ตำบลท่าช้าง อำเภอบางกล่ำ จังหวัดสงขลา          
1.2  ลูกค้ามีความประสงค์.....   
1.3  ระบบจำหน่ายแรงสูงของการไฟฟ้าส่วนภูมิภาครับไฟจากสถานีจ่ายไฟ…..... วงจรที่ …. อยู่ห่างจากสถานีประมาณ ….. กม. 
1.4  สภาพพื้นที่หน้างาน การคมนาคมขนส่งไม่สะดวก เห็นควรคิดค่าแรงกรณี ….....  
1.5 ลูกค้ามีความประสงค์ จัดหา,ออกแบบ และควบคุมการติดตั้งหม้อแปลงขนาด ..... kVA และระบบจำหน่ายไฟฟ้าภายในเองทั้งหมด โดยมี ...... วิศวกรรมควบคุมประเภท ....... สาขาวิศวกรรมไฟฟ้า แขนงไฟฟ้ากำลัง เลขทะเบียน ..... เป็นผู้ออกแบบและ วิศวกรรมควบคุมประเภท ....... สาขาวิศวกรรมไฟฟ้า แขนงไฟฟ้ากำลัง เลขทะเบียน ..... เป็นผู้ ควบคุมการติดตั้งหม้อแปลงและงานก่อสร้างระบบจำหน่ายแรงสูง
2. ข้อพิจารณา 
ผบส.กฟส.หาดใหญ่ ได้พิจารณาแล้ว  ลูกค้ามีวิศวกรที่มีคุณสมบัติ  ตามพระราชบัญญัติ วิชาชีพวิศวกรรม เป็นผู้ออกแบบและควบคุมงานก่อสร้าง  ถูกต้องตามหลักเกณฑ์  จึงเห็นควรอนุมัติหลักการให้ลูกค้า  ออกแบบ,จัดหาอุปกรณ์และดำเนินการติดตั้งเองโดยการไฟฟ้าส่วนภูมิภาค จะไม่รับผิดชอบความเสียหายที่จะเกิดในภายหลังทั้งนี้ ลูกค้าจะต้องนำเอกสารแสดงการได้มาของอุปกรณ์ทั้งหมดมาแสดงเมื่อมีการตรวจสอบ ระบบจำหน่ายก่อนจ่ายไฟด้วย</v>
      </c>
    </row>
    <row r="12" spans="1:2" x14ac:dyDescent="0.25">
      <c r="B12" t="s">
        <v>351</v>
      </c>
    </row>
    <row r="13" spans="1:2" x14ac:dyDescent="0.25">
      <c r="B13" t="str">
        <f>"2. ข้อพิจารณา "</f>
        <v xml:space="preserve">2. ข้อพิจารณา </v>
      </c>
    </row>
    <row r="14" spans="1:2" x14ac:dyDescent="0.25">
      <c r="B14" t="str">
        <f>"ผบส.กฟส.หาดใหญ่ ได้พิจารณาแล้ว  ลูกค้ามีวิศวกรที่มีคุณสมบัติ  ตามพระราชบัญญัติ วิชาชีพวิศวกรรม เป็นผู้ออกแบบและควบคุมงานก่อสร้าง  ถูกต้องตามหลักเกณฑ์  จึงเห็นควรอนุมัติหลักการให้ลูกค้า  ออกแบบ,จัดหาอุปกรณ์และดำเนินการติดตั้งเอง"</f>
        <v>ผบส.กฟส.หาดใหญ่ ได้พิจารณาแล้ว  ลูกค้ามีวิศวกรที่มีคุณสมบัติ  ตามพระราชบัญญัติ วิชาชีพวิศวกรรม เป็นผู้ออกแบบและควบคุมงานก่อสร้าง  ถูกต้องตามหลักเกณฑ์  จึงเห็นควรอนุมัติหลักการให้ลูกค้า  ออกแบบ,จัดหาอุปกรณ์และดำเนินการติดตั้งเอง</v>
      </c>
    </row>
    <row r="15" spans="1:2" x14ac:dyDescent="0.25">
      <c r="B15" t="str">
        <f>"โดยการไฟฟ้าส่วนภูมิภาค จะไม่รับผิดชอบความเสียหายที่จะเกิดในภายหลังทั้งนี้ ลูกค้าจะต้องนำเอกสารแสดงการได้มาของอุปกรณ์ทั้งหมดมาแสดงเมื่อมีการตรวจสอบ ระบบจำหน่ายก่อนจ่ายไฟด้วย"</f>
        <v>โดยการไฟฟ้าส่วนภูมิภาค จะไม่รับผิดชอบความเสียหายที่จะเกิดในภายหลังทั้งนี้ ลูกค้าจะต้องนำเอกสารแสดงการได้มาของอุปกรณ์ทั้งหมดมาแสดงเมื่อมีการตรวจสอบ ระบบจำหน่ายก่อนจ่ายไฟด้วย</v>
      </c>
    </row>
    <row r="16" spans="1:2" s="198" customFormat="1" x14ac:dyDescent="0.25">
      <c r="A16" s="198" t="s">
        <v>353</v>
      </c>
    </row>
    <row r="17" spans="1:2" x14ac:dyDescent="0.25">
      <c r="B17" t="str">
        <f>" (ตามใบเสร็จรับเงินเลขที่ " &amp;
tableexpend!Q8 &amp;
" ลว " &amp;
DAY(tableexpend!Q9) &amp; " " &amp;
CHOOSE(MONTH(tableexpend!Q9),
"ม.ค.","ก.พ.","มี.ค.","เม.ย.","พ.ค.","มิ.ย.",
"ก.ค.","ส.ค.","ก.ย.","ต.ค.","พ.ย.","ธ.ค.") &amp;
" " &amp;
RIGHT(YEAR(tableexpend!Q9)+543+57,2) &amp;
")"</f>
        <v xml:space="preserve"> (ตามใบเสร็จรับเงินเลขที่ EA99846905200010 ลว 20 พ.ค. 69)</v>
      </c>
    </row>
    <row r="18" spans="1:2" s="200" customFormat="1" x14ac:dyDescent="0.25">
      <c r="A18" s="200" t="s">
        <v>378</v>
      </c>
    </row>
    <row r="19" spans="1:2" x14ac:dyDescent="0.25">
      <c r="A19" s="199" t="str">
        <f>IF(tableexpend!L19="ลูกค้าดำเนินการทั้งหมด (รต)","Data3","")</f>
        <v/>
      </c>
      <c r="B19" t="str">
        <f>B29 &amp;
CHAR(10) &amp;
B20 &amp;
CHAR(10) &amp;
B31 &amp;
CHAR(10) &amp;
B32 &amp;
CHAR(10) &amp;
B33</f>
        <v>1. ค่าใช้จ่ายที่เรียกเก็บจากลูกค้ามีกำหนดยืนราคา 90 วัน นับตั้งแต่วันที่ออกหนังสือแจ้งค่าใช้จ่าย
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ส่วนทรัพย์สินในแผนกแรงต่ำภายใน เป็นทรัพย์สินของลูกค้าที่จะต้องดูแลและบำรุงรักษาเองยกเว้นมิเตอร์เป็นทรัพย์สินของการไฟฟ้าส่วนภูมิภาค
3. ตามอนุมัติ ผจก.กฟส.หาดใหญ่ เลขที่ ต.3กฟส.หญ.ผกส.720/2568 ลว. 30 ก.ค. 68 อนุมัติหลักการ บันทึกค่าใช้จ่ายหน้างาน งานขยายเขตระบบไฟฟ้าสำหรับงานงบผู้ใช้ไฟ (งบC) ที่ 90% ของค่าใช้จ่ายหน้างานตามประมาณการ 
4. ทั้งนี้ หากการก่อสร้างระบบไฟฟ้า ดังกล่าวข้างต้น มีความจำเป็นต้องแก้ไข 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 ด้วย
จึงเรียนมาเพื่อโปรดพิจารณาอนุมัติ ทั้งนี้ลูกค้าต้องชำระค่าใช้จ่ายตามระเบียบ หรือได้ปฏิบัติตามข้อตกลงเรียบร้อยแล้วจึงจะดำเนินการได้</v>
      </c>
    </row>
    <row r="20" spans="1:2" x14ac:dyDescent="0.25">
      <c r="B20" t="s">
        <v>379</v>
      </c>
    </row>
    <row r="22" spans="1:2" s="200" customFormat="1" x14ac:dyDescent="0.25">
      <c r="A22" s="200" t="s">
        <v>377</v>
      </c>
    </row>
    <row r="23" spans="1:2" x14ac:dyDescent="0.25">
      <c r="A23" s="199" t="str">
        <f>IF(tableexpend!L19="ลูกค้าดำเนินการทั้งหมด (รส)","Data3","")</f>
        <v/>
      </c>
      <c r="B23" t="str">
        <f>B29 &amp;
CHAR(10) &amp;
B24 &amp;
CHAR(10) &amp;
B31 &amp;
CHAR(10) &amp;
B32 &amp;
CHAR(10) &amp;
B33</f>
        <v>1. ค่าใช้จ่ายที่เรียกเก็บจากลูกค้ามีกำหนดยืนราคา 90 วัน นับตั้งแต่วันที่ออกหนังสือแจ้งค่าใช้จ่าย
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ส่วนทรัพย์สินในแผนกแรงสูงภายใน เป็นทรัพย์สินของลูกค้าที่จะต้องดูแลและบำรุงรักษาเองยกเว้นมิเตอร์เป็นทรัพย์สินของการไฟฟ้าส่วนภูมิภาค
3. ตามอนุมัติ ผจก.กฟส.หาดใหญ่ เลขที่ ต.3กฟส.หญ.ผกส.720/2568 ลว. 30 ก.ค. 68 อนุมัติหลักการ บันทึกค่าใช้จ่ายหน้างาน งานขยายเขตระบบไฟฟ้าสำหรับงานงบผู้ใช้ไฟ (งบC) ที่ 90% ของค่าใช้จ่ายหน้างานตามประมาณการ 
4. ทั้งนี้ หากการก่อสร้างระบบไฟฟ้า ดังกล่าวข้างต้น มีความจำเป็นต้องแก้ไข 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 ด้วย
จึงเรียนมาเพื่อโปรดพิจารณาอนุมัติ ทั้งนี้ลูกค้าต้องชำระค่าใช้จ่ายตามระเบียบ หรือได้ปฏิบัติตามข้อตกลงเรียบร้อยแล้วจึงจะดำเนินการได้</v>
      </c>
    </row>
    <row r="24" spans="1:2" x14ac:dyDescent="0.25">
      <c r="B24" t="s">
        <v>380</v>
      </c>
    </row>
    <row r="27" spans="1:2" s="200" customFormat="1" x14ac:dyDescent="0.25">
      <c r="A27" s="200" t="s">
        <v>364</v>
      </c>
    </row>
    <row r="28" spans="1:2" s="199" customFormat="1" x14ac:dyDescent="0.25">
      <c r="A28" s="199" t="str">
        <f>IF(tableexpend!L19="ลูกค้าดำเนินการทั้งหมด (มป)","Data3","")</f>
        <v/>
      </c>
      <c r="B28" s="199" t="str">
        <f>B29 &amp;
CHAR(10) &amp;
B30 &amp;
CHAR(10) &amp;
B31 &amp;
CHAR(10) &amp;
B32 &amp;
CHAR(10) &amp;
B33</f>
        <v>1. ค่าใช้จ่ายที่เรียกเก็บจากลูกค้ามีกำหนดยืนราคา 90 วัน นับตั้งแต่วันที่ออกหนังสือแจ้งค่าใช้จ่าย
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ส่วนทรัพย์สินในแผนกแรงสูงภายใน แผนกหม้อแปลงเป็นทรัพย์สินของลูกค้าที่จะต้องดูแลและบำรุงรักษาเองยกเว้นมิเตอร์เป็นทรัพย์สินของการไฟฟ้าส่วนภูมิภาค
3. ตามอนุมัติ ผจก.กฟส.หาดใหญ่ เลขที่ ต.3กฟส.หญ.ผกส.720/2568 ลว. 30 ก.ค. 68 อนุมัติหลักการ บันทึกค่าใช้จ่ายหน้างาน งานขยายเขตระบบไฟฟ้าสำหรับงานงบผู้ใช้ไฟ (งบC) ที่ 90% ของค่าใช้จ่ายหน้างานตามประมาณการ 
4. ทั้งนี้ หากการก่อสร้างระบบไฟฟ้า ดังกล่าวข้างต้น มีความจำเป็นต้องแก้ไข 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 ด้วย
จึงเรียนมาเพื่อโปรดพิจารณาอนุมัติ ทั้งนี้ลูกค้าต้องชำระค่าใช้จ่ายตามระเบียบ หรือได้ปฏิบัติตามข้อตกลงเรียบร้อยแล้วจึงจะดำเนินการได้</v>
      </c>
    </row>
    <row r="29" spans="1:2" x14ac:dyDescent="0.25">
      <c r="B29" t="str">
        <f>"1. ค่าใช้จ่ายที่เรียกเก็บจากลูกค้ามีกำหนดยืนราคา 90 วัน นับตั้งแต่วันที่ออกหนังสือแจ้งค่าใช้จ่าย" &amp;
IF(tableexpend!P3=1,
" และลูกค้าได้ชำระค่าตรวจสอบแบบและแผนผังรวมภาษีมูลค่าเพิ่มแล้วเป็นเงิน 5,350.- บาท " &amp; B17,
"")</f>
        <v>1. ค่าใช้จ่ายที่เรียกเก็บจากลูกค้ามีกำหนดยืนราคา 90 วัน นับตั้งแต่วันที่ออกหนังสือแจ้งค่าใช้จ่าย</v>
      </c>
    </row>
    <row r="30" spans="1:2" x14ac:dyDescent="0.25">
      <c r="B30" t="s">
        <v>381</v>
      </c>
    </row>
    <row r="31" spans="1:2" x14ac:dyDescent="0.25">
      <c r="B31" t="s">
        <v>356</v>
      </c>
    </row>
    <row r="32" spans="1:2" x14ac:dyDescent="0.25">
      <c r="B32" t="s">
        <v>357</v>
      </c>
    </row>
    <row r="33" spans="1:2" x14ac:dyDescent="0.25">
      <c r="B33" t="s">
        <v>358</v>
      </c>
    </row>
    <row r="35" spans="1:2" s="200" customFormat="1" x14ac:dyDescent="0.25">
      <c r="A35" s="200" t="s">
        <v>365</v>
      </c>
    </row>
    <row r="36" spans="1:2" s="199" customFormat="1" x14ac:dyDescent="0.25">
      <c r="A36" s="199" t="str">
        <f>IF(tableexpend!L19="กฟภ ดำเนินการทั้งหมด (มป)","Data3","")</f>
        <v/>
      </c>
      <c r="B36" s="199" t="str">
        <f>B37 &amp;B38 &amp;
CHAR(10) &amp;
B39 &amp;
CHAR(10) &amp;
B40 &amp;
CHAR(10) &amp;
B41 &amp;
CHAR(10) &amp;
B42</f>
        <v>1. ค่าใช้จ่ายที่เรียกเก็บจากลูกค้ามีกำหนดยืนราคา 90 วัน นับตั้งแต่วันที่ออกหนังสือแจ้ง ค่าใช้จ่าย และลูกค้าได้ชำระค่าตรวจสอบแบบและแผนผังรวมภาษีมูลค่าเพิ่มแล้วเป็นเงิน 5,350.- บาท (ตามใบเสร็จรับเงินเลขที่ EA99846905200010 ลว 20 พ.ค. 69) หากลูกค้ามาชําระค่าใช้จ่ายภายในกําหนดยืนราคา ให้หักลบค่าใช้จ่ายข้างต้นจาก ค่าใช้จ่ายตามประมาณการ
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ส่วนทรัพย์สินในแผนกแรงสูงภายใน แผนกหม้อแปลงเป็นทรัพย์สินของลูกค้าที่จะต้องดูแลและบำรุงรักษาเองยกเว้นมิเตอร์เป็นทรัพย์สินของการไฟฟ้าส่วนภูมิภาค 
3. ตามอนุมัติ ผจก.กฟส.หาดใหญ่ เลขที่ ต.3กฟส.หญ.ผกส.720/2568 ลว. 30 ก.ค. 68 อนุมัติหลักการ บันทึกค่าใช้จ่ายหน้างาน งานขยายเขตระบบไฟฟ้าสำหรับงานงบผู้ใช้ไฟ (งบC) ที่ 90% ของค่าใช้จ่ายหน้างานตามประมาณการ 
4. ทั้งนี้ หากการก่อสร้างระบบไฟฟ้า ดังกล่าวข้างต้น มีความจำเป็นต้องแก้ไข 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 ด้วย
จึงเรียนมาเพื่อโปรดพิจารณาอนุมัติ ทั้งนี้ลูกค้าต้องชำระค่าใช้จ่ายตามระเบียบ หรือได้ปฏิบัติตามข้อตกลงเรียบร้อยแล้วจึงจะดำเนินการได้</v>
      </c>
    </row>
    <row r="37" spans="1:2" x14ac:dyDescent="0.25">
      <c r="B37" t="s">
        <v>382</v>
      </c>
    </row>
    <row r="38" spans="1:2" x14ac:dyDescent="0.25">
      <c r="B38" t="str">
        <f>B17&amp;" หากลูกค้ามาชําระค่าใช้จ่ายภายในกําหนดยืนราคา ให้หักลบค่าใช้จ่ายข้างต้นจาก ค่าใช้จ่ายตามประมาณการ"</f>
        <v xml:space="preserve"> (ตามใบเสร็จรับเงินเลขที่ EA99846905200010 ลว 20 พ.ค. 69) หากลูกค้ามาชําระค่าใช้จ่ายภายในกําหนดยืนราคา ให้หักลบค่าใช้จ่ายข้างต้นจาก ค่าใช้จ่ายตามประมาณการ</v>
      </c>
    </row>
    <row r="39" spans="1:2" x14ac:dyDescent="0.25">
      <c r="B39" t="s">
        <v>383</v>
      </c>
    </row>
    <row r="40" spans="1:2" x14ac:dyDescent="0.25">
      <c r="B40" t="s">
        <v>356</v>
      </c>
    </row>
    <row r="41" spans="1:2" x14ac:dyDescent="0.25">
      <c r="B41" t="s">
        <v>357</v>
      </c>
    </row>
    <row r="42" spans="1:2" x14ac:dyDescent="0.25">
      <c r="B42" t="s">
        <v>358</v>
      </c>
    </row>
    <row r="45" spans="1:2" s="200" customFormat="1" x14ac:dyDescent="0.25">
      <c r="A45" s="200" t="s">
        <v>385</v>
      </c>
    </row>
    <row r="46" spans="1:2" s="199" customFormat="1" x14ac:dyDescent="0.25">
      <c r="A46" s="199" t="str">
        <f>IF(tableexpend!L19="กฟภ ดำเนินการทั้งหมด (รส)","Data3","")</f>
        <v/>
      </c>
      <c r="B46" s="199" t="str">
        <f>B47 &amp;B48 &amp;
CHAR(10) &amp;
B49 &amp;
CHAR(10) &amp;
B50 &amp;
CHAR(10) &amp;
B51 &amp;
CHAR(10) &amp;
B52</f>
        <v>1. ค่าใช้จ่ายที่เรียกเก็บจากลูกค้ามีกำหนดยืนราคา 90 วัน นับตั้งแต่วันที่ออกหนังสือแจ้ง ค่าใช้จ่าย และลูกค้าได้ชำระค่าตรวจสอบแบบและแผนผังรวมภาษีมูลค่าเพิ่มแล้วเป็นเงิน 5,350.- บาท (ตามใบเสร็จรับเงินเลขที่ EA99846905200010 ลว 20 พ.ค. 69) หากลูกค้ามาชําระค่าใช้จ่ายภายในกําหนดยืนราคา ให้หักลบค่าใช้จ่ายข้างต้นจาก ค่าใช้จ่ายตามประมาณการ
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ส่วนทรัพย์สินในแผนกแรงสูงภายใน เป็นทรัพย์สินของลูกค้าที่จะต้องดูแลและบำรุงรักษาเองยกเว้นมิเตอร์เป็นทรัพย์สินของการไฟฟ้าส่วนภูมิภาค 
3. ตามอนุมัติ ผจก.กฟส.หาดใหญ่ เลขที่ ต.3กฟส.หญ.ผกส.720/2568 ลว. 30 ก.ค. 68 อนุมัติหลักการ บันทึกค่าใช้จ่ายหน้างาน งานขยายเขตระบบไฟฟ้าสำหรับงานงบผู้ใช้ไฟ (งบC) ที่ 90% ของค่าใช้จ่ายหน้างานตามประมาณการ 
4. ทั้งนี้ หากการก่อสร้างระบบไฟฟ้า ดังกล่าวข้างต้น มีความจำเป็นต้องแก้ไข 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 ด้วย
จึงเรียนมาเพื่อโปรดพิจารณาอนุมัติ ทั้งนี้ลูกค้าต้องชำระค่าใช้จ่ายตามระเบียบ หรือได้ปฏิบัติตามข้อตกลงเรียบร้อยแล้วจึงจะดำเนินการได้</v>
      </c>
    </row>
    <row r="47" spans="1:2" x14ac:dyDescent="0.25">
      <c r="B47" t="s">
        <v>382</v>
      </c>
    </row>
    <row r="48" spans="1:2" x14ac:dyDescent="0.25">
      <c r="B48" t="str">
        <f>B17&amp;" หากลูกค้ามาชําระค่าใช้จ่ายภายในกําหนดยืนราคา ให้หักลบค่าใช้จ่ายข้างต้นจาก ค่าใช้จ่ายตามประมาณการ"</f>
        <v xml:space="preserve"> (ตามใบเสร็จรับเงินเลขที่ EA99846905200010 ลว 20 พ.ค. 69) หากลูกค้ามาชําระค่าใช้จ่ายภายในกําหนดยืนราคา ให้หักลบค่าใช้จ่ายข้างต้นจาก ค่าใช้จ่ายตามประมาณการ</v>
      </c>
    </row>
    <row r="49" spans="1:2" x14ac:dyDescent="0.25">
      <c r="B49" t="s">
        <v>386</v>
      </c>
    </row>
    <row r="50" spans="1:2" x14ac:dyDescent="0.25">
      <c r="B50" t="s">
        <v>356</v>
      </c>
    </row>
    <row r="51" spans="1:2" x14ac:dyDescent="0.25">
      <c r="B51" t="s">
        <v>357</v>
      </c>
    </row>
    <row r="52" spans="1:2" x14ac:dyDescent="0.25">
      <c r="B52" t="s">
        <v>358</v>
      </c>
    </row>
    <row r="55" spans="1:2" s="200" customFormat="1" x14ac:dyDescent="0.25">
      <c r="A55" s="200" t="s">
        <v>401</v>
      </c>
    </row>
    <row r="56" spans="1:2" s="199" customFormat="1" x14ac:dyDescent="0.25">
      <c r="A56" s="199" t="str">
        <f>IF(tableexpend!L19="กฟภ ดำเนินการทั้งหมด (รต)","Data3","")</f>
        <v/>
      </c>
      <c r="B56" s="199" t="str">
        <f>B57 &amp;B58 &amp;
CHAR(10) &amp;
B59 &amp;
CHAR(10) &amp;
B60 &amp;
CHAR(10) &amp;
B61 &amp;
CHAR(10) &amp;
B62</f>
        <v>1. ค่าใช้จ่ายที่เรียกเก็บจากลูกค้ามีกำหนดยืนราคา 90 วัน นับตั้งแต่วันที่ออกหนังสือแจ้ง ค่าใช้จ่าย และลูกค้าได้ชำระค่าตรวจสอบแบบและแผนผังรวมภาษีมูลค่าเพิ่มแล้วเป็นเงิน 5,350.- บาท (ตามใบเสร็จรับเงินเลขที่ EA99846905200010 ลว 20 พ.ค. 69) หากลูกค้ามาชําระค่าใช้จ่ายภายในกําหนดยืนราคา ให้หักลบค่าใช้จ่ายข้างต้นจาก ค่าใช้จ่ายตามประมาณการ
2. เมื่อก่อสร้างแล้วเสร็จ ทรัพย์สินที่อยู่พื้นที่สาธารณะเป็นทรัพย์สินของการไฟฟ้าส่วนภูมิภาค ที่จะต้องดูแลและบำรุงรักษาเอง ส่วนทรัพย์สินในแผนกแรงสูงภายใน เป็นทรัพย์สินของลูกค้าที่จะต้องดูแลและบำรุงรักษาเองยกเว้นมิเตอร์เป็นทรัพย์สินของการไฟฟ้าส่วนภูมิภาค 
3. ตามอนุมัติ ผจก.กฟส.หาดใหญ่ เลขที่ ต.3กฟส.หญ.ผกส.720/2568 ลว. 30 ก.ค. 68 อนุมัติหลักการ บันทึกค่าใช้จ่ายหน้างาน งานขยายเขตระบบไฟฟ้าสำหรับงานงบผู้ใช้ไฟ (งบC) ที่ 90% ของค่าใช้จ่ายหน้างานตามประมาณการ 
4. ทั้งนี้ หากการก่อสร้างระบบไฟฟ้า ดังกล่าวข้างต้น มีความจำเป็นต้องแก้ไข 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 ด้วย
จึงเรียนมาเพื่อโปรดพิจารณาอนุมัติ ทั้งนี้ลูกค้าต้องชำระค่าใช้จ่ายตามระเบียบ หรือได้ปฏิบัติตามข้อตกลงเรียบร้อยแล้วจึงจะดำเนินการได้</v>
      </c>
    </row>
    <row r="57" spans="1:2" x14ac:dyDescent="0.25">
      <c r="B57" t="s">
        <v>382</v>
      </c>
    </row>
    <row r="58" spans="1:2" x14ac:dyDescent="0.25">
      <c r="B58" t="str">
        <f>B17&amp;" หากลูกค้ามาชําระค่าใช้จ่ายภายในกําหนดยืนราคา ให้หักลบค่าใช้จ่ายข้างต้นจาก ค่าใช้จ่ายตามประมาณการ"</f>
        <v xml:space="preserve"> (ตามใบเสร็จรับเงินเลขที่ EA99846905200010 ลว 20 พ.ค. 69) หากลูกค้ามาชําระค่าใช้จ่ายภายในกําหนดยืนราคา ให้หักลบค่าใช้จ่ายข้างต้นจาก ค่าใช้จ่ายตามประมาณการ</v>
      </c>
    </row>
    <row r="59" spans="1:2" x14ac:dyDescent="0.25">
      <c r="B59" t="s">
        <v>386</v>
      </c>
    </row>
    <row r="60" spans="1:2" x14ac:dyDescent="0.25">
      <c r="B60" t="s">
        <v>356</v>
      </c>
    </row>
    <row r="61" spans="1:2" x14ac:dyDescent="0.25">
      <c r="B61" t="s">
        <v>357</v>
      </c>
    </row>
    <row r="62" spans="1:2" x14ac:dyDescent="0.25">
      <c r="B62" t="s">
        <v>358</v>
      </c>
    </row>
    <row r="65" spans="1:2" s="200" customFormat="1" x14ac:dyDescent="0.25">
      <c r="A65" s="200" t="s">
        <v>391</v>
      </c>
    </row>
    <row r="66" spans="1:2" s="199" customFormat="1" x14ac:dyDescent="0.25">
      <c r="A66" s="199" t="str">
        <f>IF(tableexpend!L19="ขยายเขตแรงต่ำ","Data3","")</f>
        <v/>
      </c>
      <c r="B66" s="199" t="str">
        <f>B67 &amp;B68 &amp;
CHAR(10) &amp;
B69 &amp;
CHAR(10) &amp;
B70 &amp;
CHAR(10) &amp;
B71 &amp;
CHAR(10) &amp;
B72</f>
        <v xml:space="preserve">1 ตามอนุมัติ ผวก. เลขที่ กคก.(น.) 292/2563 ลว. 23 มี.ค. 2563 ข้อ 3.2.3 (1) ผู้ขอใช้ไฟรายใหม่บ้านที่อยู่อาศัย วงเงินไม่เกิน 75,000 บาท ระยะทางไม่เกิน 140 เมตร จัดเข้างบประเภท งบ I รหัสงบ C01.12 เมื่อก่อสร้างแล้วเสร็จ ทรัพย์สินเป็นของ กฟภ. ซึ่งจะต้องบำรุงรักษาต่อไป
3 สภาพหน้างานการคมนาคมไม่สะดวก เห็นควรคิดค่าแรงกรณี 2
4 ตามอนุมัติ ผจก.กฟส.หาดใหญ่ เลขที่ ต.3กฟส.หญ.ผกส.720/2568 ลว. 30 ก.ค. 68 อนุมัติหลักการบันทึกค่าใช้จ่ายหน้างาน งานขยายเขตระบบไฟฟ้าสำหรับงานงบผู้ใช้ไฟ (งบ C) ที่ 90% ของค่าใช้จ่ายหน้างานตามประมาณการ
จึงเรียนมาเพื่อโปรดพิจารณาอนุมัติ
</v>
      </c>
    </row>
    <row r="67" spans="1:2" x14ac:dyDescent="0.25">
      <c r="B67" t="s">
        <v>393</v>
      </c>
    </row>
    <row r="68" spans="1:2" x14ac:dyDescent="0.25">
      <c r="B68" t="s">
        <v>394</v>
      </c>
    </row>
    <row r="69" spans="1:2" x14ac:dyDescent="0.25">
      <c r="B69" t="s">
        <v>395</v>
      </c>
    </row>
    <row r="70" spans="1:2" x14ac:dyDescent="0.25">
      <c r="B70" t="s">
        <v>396</v>
      </c>
    </row>
    <row r="71" spans="1:2" x14ac:dyDescent="0.25">
      <c r="B71" t="s">
        <v>392</v>
      </c>
    </row>
    <row r="75" spans="1:2" s="200" customFormat="1" x14ac:dyDescent="0.25">
      <c r="A75" s="200" t="s">
        <v>371</v>
      </c>
    </row>
    <row r="76" spans="1:2" s="199" customFormat="1" x14ac:dyDescent="0.25">
      <c r="A76" s="199" t="str">
        <f>IF(tableexpend!L19="แขวงทางหลวง","Data3","")</f>
        <v>Data3</v>
      </c>
      <c r="B76" s="199" t="str">
        <f>B77 &amp;
CHAR(10) &amp;
B78 &amp;
CHAR(10) &amp;
B79 &amp;
CHAR(10) &amp;
B80 &amp;
CHAR(10) &amp;
B81</f>
        <v>1. ค่าใช้จ่ายที่เรียกเก็บจากลูกค้ามีกำหนดยืนราคา 180 วัน นับตั้งแต่วันที่ออกหนังสือแจ้ง ค่าใช้จ่าย 
2. เมื่อก่อสร้างแล้วเสร็จ ทรัพย์สินในแผนกหม้อแปลงเป็นทรัพย์สินของลูกค้าที่จะต้องดูแลและบำรุงรักษาเองยกเว้นมิเตอร์เป็นทรัพย์สินของการไฟฟ้าส่วนภูมิภาค 
3. ตามอนุมัติ ผจก.กฟส.หาดใหญ่ เลขที่ ต.3กฟส.หญ.ผกส.720/2568 ลว. 30 ก.ค. 68 อนุมัติหลักการ บันทึกค่าใช้จ่ายหน้างาน งานขยายเขตระบบไฟฟ้าสำหรับงานงบผู้ใช้ไฟ (งบC) ที่ 90% ของค่าใช้จ่ายหน้างานตามประมาณการ 
4. ทั้งนี้ หากการก่อสร้างระบบไฟฟ้า ดังกล่าวข้างต้น มีความจำเป็นต้องแก้ไข 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 ด้วย
จึงเรียนมาเพื่อโปรดพิจารณาอนุมัติ ทั้งนี้ลูกค้าต้องชำระค่าใช้จ่ายตามระเบียบ หรือได้ปฏิบัติตามข้อตกลงเรียบร้อยแล้วจึงจะดำเนินการได้</v>
      </c>
    </row>
    <row r="77" spans="1:2" x14ac:dyDescent="0.25">
      <c r="B77" t="s">
        <v>403</v>
      </c>
    </row>
    <row r="78" spans="1:2" x14ac:dyDescent="0.25">
      <c r="B78" t="s">
        <v>384</v>
      </c>
    </row>
    <row r="79" spans="1:2" x14ac:dyDescent="0.25">
      <c r="B79" t="s">
        <v>356</v>
      </c>
    </row>
    <row r="80" spans="1:2" x14ac:dyDescent="0.25">
      <c r="B80" t="s">
        <v>357</v>
      </c>
    </row>
    <row r="81" spans="1:3" x14ac:dyDescent="0.25">
      <c r="B81" t="s">
        <v>358</v>
      </c>
    </row>
    <row r="85" spans="1:3" x14ac:dyDescent="0.25">
      <c r="A85" t="s">
        <v>152</v>
      </c>
      <c r="B85" t="str">
        <f>"ที่ บส.-["&amp;หน้าหลัก!I5&amp;"]"</f>
        <v>ที่ บส.-[0382]</v>
      </c>
    </row>
    <row r="86" spans="1:3" x14ac:dyDescent="0.25">
      <c r="A86" t="s">
        <v>157</v>
      </c>
      <c r="C86" t="s">
        <v>157</v>
      </c>
    </row>
  </sheetData>
  <phoneticPr fontId="15"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F16FDA-C32D-49B9-8ECB-395821967BCB}">
  <sheetPr codeName="Sheet15"/>
  <dimension ref="A1:C86"/>
  <sheetViews>
    <sheetView topLeftCell="A49" zoomScale="85" zoomScaleNormal="85" workbookViewId="0">
      <selection activeCell="B41" sqref="B41"/>
    </sheetView>
  </sheetViews>
  <sheetFormatPr defaultRowHeight="13.8" x14ac:dyDescent="0.25"/>
  <cols>
    <col min="1" max="1" width="14.5" customWidth="1"/>
    <col min="2" max="2" width="19.8984375" customWidth="1"/>
  </cols>
  <sheetData>
    <row r="1" spans="1:3" x14ac:dyDescent="0.25">
      <c r="A1" t="s">
        <v>197</v>
      </c>
      <c r="B1" s="91">
        <f ca="1">NOW()</f>
        <v>46251.871636689815</v>
      </c>
    </row>
    <row r="2" spans="1:3" x14ac:dyDescent="0.25">
      <c r="A2" s="199" t="str">
        <f>IF(tableexpend!L20="ทั้งหมด","REF","")</f>
        <v>REF</v>
      </c>
      <c r="B2" t="str">
        <f>"คำร้องขยายเขตระบบจำหน่าไฟฟ้า เลขที่ "&amp; หน้าหลัก!B6 &amp;" ลงวันที่ "&amp;TEXT(หน้าหลัก!G6,"[$-th]d mmm yy")</f>
        <v>คำร้องขยายเขตระบบจำหน่าไฟฟ้า เลขที่ LHAY69002507 ลงวันที่ 14 ก.ค. 69</v>
      </c>
    </row>
    <row r="3" spans="1:3" x14ac:dyDescent="0.25">
      <c r="A3" s="199" t="str">
        <f>IF(tableexpend!L20="ทั้งหมด","Data1","")</f>
        <v>Data1</v>
      </c>
      <c r="B3" t="str">
        <f>IF(หน้าหลัก!B2="","","ตามหนังสือที่ได้แจ้งความประสงค์ขอให้ การไฟฟ้าส่วนภูมิภาคสาขาหาดใหญ่ ดำเนินการขยายเขตระบบไฟฟ้าให้กับ ")
&amp;IF(หน้าหลัก!B2="","",หน้าหลัก!B2&amp;" ")
&amp;IF(หน้าหลัก!B4="","","บ้านเลขที่ "&amp;หน้าหลัก!B4&amp;" ")
&amp;IF(หน้าหลัก!C4="","","หมู่ที่ "&amp;หน้าหลัก!C4&amp;" ")
&amp;IF(หน้าหลัก!D4="","","ซอย "&amp;หน้าหลัก!D4&amp;"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
&amp;"ตามรายละเอียดแจ้งอยู่แล้ว นั้น"</f>
        <v>ตามหนังสือที่ได้แจ้งความประสงค์ขอให้ การไฟฟ้าส่วนภูมิภาคสาขาหาดใหญ่ ดำเนินการขยายเขตระบบไฟฟ้าให้กับ แขวงทางหลวงสงขลาที่ 1 หน้าศูนย์กระจายสินค้า (จุดที่ 2) บ้านเลขที่ หน้าศูนย์กระจายสินค้า (จุดที่ 2) ตำบลท่าช้าง อำเภอบางกล่ำ จังหวัดสงขลา ตามรายละเอียดแจ้งอยู่แล้ว นั้น</v>
      </c>
    </row>
    <row r="4" spans="1:3" x14ac:dyDescent="0.25">
      <c r="A4" s="199" t="str">
        <f>IF(tableexpend!L20="ทั้งหมด","Data2","")</f>
        <v>Data2</v>
      </c>
      <c r="B4" t="s">
        <v>346</v>
      </c>
    </row>
    <row r="5" spans="1:3" s="198" customFormat="1" x14ac:dyDescent="0.25">
      <c r="A5" s="198" t="s">
        <v>359</v>
      </c>
    </row>
    <row r="6" spans="1:3" x14ac:dyDescent="0.25">
      <c r="A6" t="s">
        <v>157</v>
      </c>
      <c r="C6" t="str">
        <f ca="1">IF(Customertable!H3=0,"Table3","Table2")</f>
        <v>Table2</v>
      </c>
    </row>
    <row r="7" spans="1:3" s="198" customFormat="1" x14ac:dyDescent="0.25">
      <c r="A7" s="198" t="s">
        <v>360</v>
      </c>
    </row>
    <row r="8" spans="1:3" x14ac:dyDescent="0.25">
      <c r="B8" t="str">
        <f>" ตามใบเสร็จรับเงินเลขที่ " &amp;
tableexpend!Q8 &amp;
" ลงวันที่ " &amp;
DAY(tableexpend!Q9) &amp; " " &amp;
CHOOSE(MONTH(tableexpend!Q9),
"มกราคม","กุมภาพันธ์","มีนาคม","เมษายน","พฤษภาคม","มิถุนายน",
"กรกฎาคม","สิงหาคม","กันยายน","ตุลาคม","พฤศจิกายน","ธันวาคม") &amp;
" " &amp;
RIGHT(YEAR(tableexpend!Q9)+543+57,4) &amp;
""</f>
        <v xml:space="preserve"> ตามใบเสร็จรับเงินเลขที่ EA99846905200010 ลงวันที่ 20 พฤษภาคม 2569</v>
      </c>
    </row>
    <row r="10" spans="1:3" s="200" customFormat="1" x14ac:dyDescent="0.25">
      <c r="A10" s="200" t="s">
        <v>389</v>
      </c>
    </row>
    <row r="11" spans="1:3" x14ac:dyDescent="0.25">
      <c r="A11" s="199" t="str">
        <f>IF(tableexpend!L19="กฟภ ดำเนินการทั้งหมด (รต)","Data3","")</f>
        <v/>
      </c>
      <c r="B11" t="str">
        <f>IF(Customertable!B22="",B21&amp;"  "&amp;B22,B21&amp;CHAR(10)&amp;B22)</f>
        <v>กำหนดยืนราคาภายในระยะเวลา 90 วัน นับจากวันที่แจ้งค่าใช้จ่ายให้ผู้ใช้ไฟฟ้าทราบ เมื่อดำเนินการก่อสร้างแล้วเสร็จ ทรัพย์สินที่ติดตั้งในพื้นที่ของลูกค้าจะเป็นทรัพย์สินของลูกค้า ซึ่งลูกค้าจะต้องเป็นผู้ดูแลและบำรุงรักษาเอง ยกเว้นเครื่องวัดหน่วยไฟฟ้า ซึ่งเป็นทรัพย์สินของการไฟฟ้าส่วนภูมิภาค โดยการไฟฟ้าส่วนภูมิภาคจะเป็นผู้ดูแลและบำรุงรักษา   ทั้งนี้ หากให้การไฟฟ้าส่วนภูมิภาคเป็นผู้ดำเนินการก่อสร้าง การไฟฟ้าส่วนภูมิภาคจะรับประกันคุณภาพงานก่อสร้างเป็นระยะเวลา 2 ปี และให้บริการบำรุงรักษาโดยไม่คิดค่าใช้จ่าย จำนวน 1 ครั้ง</v>
      </c>
    </row>
    <row r="12" spans="1:3" x14ac:dyDescent="0.25">
      <c r="A12" s="199" t="str">
        <f>IF(tableexpend!L19="กฟภ ดำเนินการทั้งหมด (รต)","Data4","")</f>
        <v/>
      </c>
      <c r="B12" t="str">
        <f>_xlfn.TEXTJOIN(CHAR(10),TRUE,
B25,
B27&amp;B28,
IF(tableexpend!P3=1,B30&amp;B31&amp;B32,""),
B36)</f>
        <v>ทั้งนี้ หากการก่อสร้างระบบไฟฟ้า ดังกล่าวข้างต้น มีความจำเป็นต้องแก้ไขเปลี่ยนแปลงราคาพัสดุและการไฟฟ้าส่วนภูมิภาค มีความจำเป็นต้องแก้ไข เปลี่ยนแปลงการก่อสร้างฯ หรืออื่นๆ การไฟฟ้าส่วนภูมิภาคจำเป็นต้องเรียกเก็บค่าใช้จ่ายในส่วนที่เพิ่มขึ้นภายหลังต่อไป
จึงเรียนมาเพื่อโปรดทราบ หากมีข้อสงสัยประการใด สอบถามรายละเอียดได้ ณ สำนักงานการไฟฟ้าส่วนภูมิภาคสาขาหาดใหญ่ ถนนเพชรเกษม ได้ทุกวันในเวลาเปิดทำการ</v>
      </c>
    </row>
    <row r="14" spans="1:3" s="200" customFormat="1" x14ac:dyDescent="0.25">
      <c r="A14" s="200" t="s">
        <v>388</v>
      </c>
    </row>
    <row r="15" spans="1:3" x14ac:dyDescent="0.25">
      <c r="A15" s="199" t="str">
        <f>IF(tableexpend!L19="กฟภ ดำเนินการทั้งหมด (รส)","Data3","")</f>
        <v/>
      </c>
      <c r="B15" t="str">
        <f>IF(Customertable!B22="",B21&amp;"  "&amp;B22,B21&amp;CHAR(10)&amp;B22)</f>
        <v>กำหนดยืนราคาภายในระยะเวลา 90 วัน นับจากวันที่แจ้งค่าใช้จ่ายให้ผู้ใช้ไฟฟ้าทราบ เมื่อดำเนินการก่อสร้างแล้วเสร็จ ทรัพย์สินที่ติดตั้งในพื้นที่ของลูกค้าจะเป็นทรัพย์สินของลูกค้า ซึ่งลูกค้าจะต้องเป็นผู้ดูแลและบำรุงรักษาเอง ยกเว้นเครื่องวัดหน่วยไฟฟ้า ซึ่งเป็นทรัพย์สินของการไฟฟ้าส่วนภูมิภาค โดยการไฟฟ้าส่วนภูมิภาคจะเป็นผู้ดูแลและบำรุงรักษา   ทั้งนี้ หากให้การไฟฟ้าส่วนภูมิภาคเป็นผู้ดำเนินการก่อสร้าง การไฟฟ้าส่วนภูมิภาคจะรับประกันคุณภาพงานก่อสร้างเป็นระยะเวลา 2 ปี และให้บริการบำรุงรักษาโดยไม่คิดค่าใช้จ่าย จำนวน 1 ครั้ง</v>
      </c>
    </row>
    <row r="16" spans="1:3" x14ac:dyDescent="0.25">
      <c r="A16" s="199" t="str">
        <f>IF(tableexpend!L19="กฟภ ดำเนินการทั้งหมด (รส)","Data4","")</f>
        <v/>
      </c>
      <c r="B16" t="str">
        <f>_xlfn.TEXTJOIN(CHAR(10),TRUE,
B25,
B27&amp;B28,
IF(tableexpend!P3=1,B30&amp;B31&amp;B32,""),
B36)</f>
        <v>ทั้งนี้ หากการก่อสร้างระบบไฟฟ้า ดังกล่าวข้างต้น มีความจำเป็นต้องแก้ไขเปลี่ยนแปลงราคาพัสดุและการไฟฟ้าส่วนภูมิภาค มีความจำเป็นต้องแก้ไข เปลี่ยนแปลงการก่อสร้างฯ หรืออื่นๆ การไฟฟ้าส่วนภูมิภาคจำเป็นต้องเรียกเก็บค่าใช้จ่ายในส่วนที่เพิ่มขึ้นภายหลังต่อไป
จึงเรียนมาเพื่อโปรดทราบ หากมีข้อสงสัยประการใด สอบถามรายละเอียดได้ ณ สำนักงานการไฟฟ้าส่วนภูมิภาคสาขาหาดใหญ่ ถนนเพชรเกษม ได้ทุกวันในเวลาเปิดทำการ</v>
      </c>
    </row>
    <row r="19" spans="1:2" s="200" customFormat="1" x14ac:dyDescent="0.25">
      <c r="A19" s="200" t="s">
        <v>365</v>
      </c>
    </row>
    <row r="20" spans="1:2" x14ac:dyDescent="0.25">
      <c r="A20" s="199" t="str">
        <f>IF(tableexpend!L19="กฟภ ดำเนินการทั้งหมด (มป)","Data3","")</f>
        <v/>
      </c>
      <c r="B20" t="str">
        <f>IF(Customertable!B22="",B21&amp;" "&amp;B22,B21&amp;CHAR(10)&amp;B22)</f>
        <v>กำหนดยืนราคาภายในระยะเวลา 90 วัน นับจากวันที่แจ้งค่าใช้จ่ายให้ผู้ใช้ไฟฟ้าทราบ เมื่อดำเนินการก่อสร้างแล้วเสร็จ ทรัพย์สินที่ติดตั้งในพื้นที่ของลูกค้าจะเป็นทรัพย์สินของลูกค้า ซึ่งลูกค้าจะต้องเป็นผู้ดูแลและบำรุงรักษาเอง ยกเว้นเครื่องวัดหน่วยไฟฟ้า ซึ่งเป็นทรัพย์สินของการไฟฟ้าส่วนภูมิภาค โดยการไฟฟ้าส่วนภูมิภาคจะเป็นผู้ดูแลและบำรุงรักษา  ทั้งนี้ หากให้การไฟฟ้าส่วนภูมิภาคเป็นผู้ดำเนินการก่อสร้าง การไฟฟ้าส่วนภูมิภาคจะรับประกันคุณภาพงานก่อสร้างเป็นระยะเวลา 2 ปี และให้บริการบำรุงรักษาโดยไม่คิดค่าใช้จ่าย จำนวน 1 ครั้ง</v>
      </c>
    </row>
    <row r="21" spans="1:2" x14ac:dyDescent="0.25">
      <c r="B21" t="s">
        <v>368</v>
      </c>
    </row>
    <row r="22" spans="1:2" x14ac:dyDescent="0.25">
      <c r="B22" t="str">
        <f>"ทั้งนี้ หากให้การไฟฟ้าส่วนภูมิภาคเป็นผู้ดำเนินการก่อสร้าง การไฟฟ้าส่วนภูมิภาคจะรับประกันคุณภาพงานก่อสร้างเป็นระยะเวลา 2 ปี และให้บริการบำรุงรักษาโดยไม่คิดค่าใช้จ่าย จำนวน 1 ครั้ง"&amp;
IF(Customertable!B22&lt;&gt;"",
" เมื่อท่านดำเนินการก่อสร้างระบบไฟฟ้าภายในแล้วเสร็จ และการไฟฟ้าส่วนภูมิภาคได้ตรวจสอบแล้วว่าถูกต้องตามมาตรฐานเรียบร้อยแล้ว ให้ยื่นคำร้องขอใช้ไฟฟ้าและชำระค่าธรรมเนียมในการขอใช้ไฟฟ้า ดังนี้",
"")</f>
        <v>ทั้งนี้ หากให้การไฟฟ้าส่วนภูมิภาคเป็นผู้ดำเนินการก่อสร้าง การไฟฟ้าส่วนภูมิภาคจะรับประกันคุณภาพงานก่อสร้างเป็นระยะเวลา 2 ปี และให้บริการบำรุงรักษาโดยไม่คิดค่าใช้จ่าย จำนวน 1 ครั้ง</v>
      </c>
    </row>
    <row r="23" spans="1:2" x14ac:dyDescent="0.25">
      <c r="A23" s="199" t="str">
        <f>IF(tableexpend!L19="กฟภ ดำเนินการทั้งหมด (มป)","Data4","")</f>
        <v/>
      </c>
      <c r="B23" t="str">
        <f>_xlfn.TEXTJOIN(CHAR(10),TRUE,
B25,
B27&amp;B28,
IF(tableexpend!P3=1,B30&amp;B31&amp;B32,""),
B36)</f>
        <v>ทั้งนี้ หากการก่อสร้างระบบไฟฟ้า ดังกล่าวข้างต้น มีความจำเป็นต้องแก้ไขเปลี่ยนแปลงราคาพัสดุและการไฟฟ้าส่วนภูมิภาค มีความจำเป็นต้องแก้ไข เปลี่ยนแปลงการก่อสร้างฯ หรืออื่นๆ การไฟฟ้าส่วนภูมิภาคจำเป็นต้องเรียกเก็บค่าใช้จ่ายในส่วนที่เพิ่มขึ้นภายหลังต่อไป
จึงเรียนมาเพื่อโปรดทราบ หากมีข้อสงสัยประการใด สอบถามรายละเอียดได้ ณ สำนักงานการไฟฟ้าส่วนภูมิภาคสาขาหาดใหญ่ ถนนเพชรเกษม ได้ทุกวันในเวลาเปิดทำการ</v>
      </c>
    </row>
    <row r="25" spans="1:2" x14ac:dyDescent="0.25">
      <c r="B25" t="s">
        <v>361</v>
      </c>
    </row>
    <row r="27" spans="1:2" x14ac:dyDescent="0.25">
      <c r="B27" t="str">
        <f>IF(Customertable!B21="","",
"อนึ่ง การชำระเงินให้แก่การไฟฟ้าส่วนภูมิภาคตามข้อ " &amp;
IF(Customertable!H3=0,"2.1","2.1 – 2.2") &amp;
" ให้ชำระด้วยเช็ครับรองธนาคาร (แคชเชียร์เช็ค) ดราฟท์ หรือเงินสดเท่านั้น")</f>
        <v/>
      </c>
    </row>
    <row r="28" spans="1:2" x14ac:dyDescent="0.25">
      <c r="B28" t="str">
        <f>IF(Customertable!B21="","",
"พร้อมทั้งโปรดแนบสำเนาใบทะเบียนภาษีมูลค่าเพิ่ม (ภ.พ.20) มอบให้การไฟฟ้าส่วนภูมิภาคด้วย สำหรับค่าประกันการใช้ไฟฟ้าตามข้อ " &amp;
IF(Customertable!H3=0,"2.2","2.3") &amp;
" ผู้ใช้ไฟฟ้าสามารถชำระเป็นเงินสด หรือวางหนังสือค้ำประกันของธนาคาร หรือพันธบัตรรัฐบาลแทนเงินสดได้")</f>
        <v/>
      </c>
    </row>
    <row r="30" spans="1:2" x14ac:dyDescent="0.25">
      <c r="B30" t="str">
        <f>IF(tableexpend!P3&lt;&gt;1,"","การไฟฟ้าส่วนภูมิภาคได้รับชำระเงินค่าสำรวจและออกแบบ (รวมภาษีมูลค่าเพิ่ม) แล้ว เป็นจำนวน 5,350.00 บาท (ห้าพันสามร้อยห้าสิบบาทถ้วน) "&amp;B8)</f>
        <v/>
      </c>
    </row>
    <row r="31" spans="1:2" x14ac:dyDescent="0.25">
      <c r="B31" t="str">
        <f>IF(tableexpend!P3=1,
"หากท่านประสงค์ให้การไฟฟ้าส่วนภูมิภาคดำเนินการก่อสร้างระบบจำหน่ายดังกล่าว และชำระเงินภายในกำหนดยืนราคา การไฟฟ้าส่วนภูมิภาคจะนำค่าสำรวจและออกแบบที่ได้รับชำระไว้แล้วไปหักเป็นส่วนหนึ่งของค่าใช้จ่ายในการดำเนินการก่อสร้าง",
"")</f>
        <v/>
      </c>
    </row>
    <row r="32" spans="1:2" x14ac:dyDescent="0.25">
      <c r="B32" t="str">
        <f>IF(tableexpend!P3=1,
"โดยคงเหลือค่าใช้จ่ายที่ท่านต้องชำระเพิ่มเติมเป็นจำนวน " &amp;
TEXT(B33,"#,##0.00") &amp;
" บาท (" &amp;
B34 &amp;
")",
"")</f>
        <v/>
      </c>
    </row>
    <row r="33" spans="1:2" x14ac:dyDescent="0.25">
      <c r="B33" s="202">
        <f ca="1">IF(Customertable!H3=0,Customertable!G14,Customertable!G7)</f>
        <v>217222.09</v>
      </c>
    </row>
    <row r="34" spans="1:2" x14ac:dyDescent="0.25">
      <c r="B34" t="str">
        <f ca="1">IF(Customertable!H3=0,Customertable!G15,Customertable!G8)</f>
        <v>สองแสนหนึ่งหมื่นเจ็ดพันสองร้อยยี่สิบสองบาทเก้าสตางค์</v>
      </c>
    </row>
    <row r="36" spans="1:2" x14ac:dyDescent="0.25">
      <c r="B36" t="s">
        <v>362</v>
      </c>
    </row>
    <row r="38" spans="1:2" s="200" customFormat="1" x14ac:dyDescent="0.25">
      <c r="A38" s="200" t="s">
        <v>364</v>
      </c>
    </row>
    <row r="39" spans="1:2" x14ac:dyDescent="0.25">
      <c r="A39" s="199" t="str">
        <f>IF(tableexpend!L19="ลูกค้าดำเนินการทั้งหมด (มป)","Data3","")</f>
        <v/>
      </c>
      <c r="B39" t="str">
        <f>B40&amp;CHAR(10)&amp;B41</f>
        <v>กำหนดยืนราคาภายในระยะเวลา 90 วัน นับจากวันที่แจ้งค่าใช้จ่ายให้ผู้ใช้ไฟทราบ เมื่อก่อสร้างแล้วเสร็จ ทรัพย์สินในแผนกมิเตอร์วัดพลังงานไฟฟ้าเป็นของการไฟฟ้าส่วนภูมิภาคที่จะดูแลและบำรุงรักษา ส่วนทรัพย์สินในแผนกแรงสูงภายใน และแผนกหม้อแปลงเป็นทรัพย์สินของผู้ใช้ไฟที่จะต้องดูแลบำรุงรักษาเอง สำหรับอุปกรณ์ทางบริษัทเป็นผู้จัดหาเองนั้น แม้ว่าการไฟฟ้าส่วนภูมิภาคตรวจสอบแล้วก็ตาม หากเกิดความเสียหายหรืออันตรายภายหลัง การไฟฟ้าส่วนภูมิภาคจะไม่รับผิดชอบใด ๆ ทั้งสิ้น ให้อยู่ในความรับผิดชอบของลูกค้าฝ่ายเดียว
ทั้งนี้ หากการก่อสร้างระบบไฟฟ้าดังกล่าวข้างต้น มีความจำเป็นต้องแก้ไขเปลี่ยนแปลงราคาพัสดุ และการไฟฟ้าส่วนภูมิภาคมีความจำเป็นต้องแก้ไขเปลี่ยนแปลงการก่อสร้างฯ หรืออื่น ๆ การไฟฟ้าส่วนภูมิภาคจำเป็นต้องเรียกเก็บค่าใช้จ่ายในส่วนที่เพิ่มขึ้นภายหลังต่อไป</v>
      </c>
    </row>
    <row r="40" spans="1:2" x14ac:dyDescent="0.25">
      <c r="B40" t="str">
        <f>"กำหนดยืนราคาภายในระยะเวลา 90 วัน นับจากวันที่แจ้งค่าใช้จ่ายให้ผู้ใช้ไฟทราบ เมื่อก่อสร้างแล้วเสร็จ " &amp;
"ทรัพย์สินในแผนกมิเตอร์วัดพลังงานไฟฟ้าเป็นของการไฟฟ้าส่วนภูมิภาคที่จะดูแลและบำรุงรักษา " &amp;
"ส่วนทรัพย์สินในแผนกแรงสูงภายใน และแผนกหม้อแปลงเป็นทรัพย์สินของผู้ใช้ไฟที่จะต้องดูแลบำรุงรักษาเอง " &amp;
"สำหรับอุปกรณ์ทางบริษัทเป็นผู้จัดหาเองนั้น แม้ว่าการไฟฟ้าส่วนภูมิภาคตรวจสอบแล้วก็ตาม " &amp;
"หากเกิดความเสียหายหรืออันตรายภายหลัง การไฟฟ้าส่วนภูมิภาคจะไม่รับผิดชอบใด ๆ ทั้งสิ้น " &amp;
"ให้อยู่ในความรับผิดชอบของลูกค้าฝ่ายเดียว" &amp;
IF(tableexpend!P3=1,
" อนึ่ง การไฟฟ้าส่วนภูมิภาคได้รับชำระเงินค่าตรวจสอบแบบและแผนผัง (รวมภาษีมูลค่าเพิ่ม) ไว้แล้วจำนวน 5,350.- บาท"&amp;B8,
"")</f>
        <v>กำหนดยืนราคาภายในระยะเวลา 90 วัน นับจากวันที่แจ้งค่าใช้จ่ายให้ผู้ใช้ไฟทราบ เมื่อก่อสร้างแล้วเสร็จ ทรัพย์สินในแผนกมิเตอร์วัดพลังงานไฟฟ้าเป็นของการไฟฟ้าส่วนภูมิภาคที่จะดูแลและบำรุงรักษา ส่วนทรัพย์สินในแผนกแรงสูงภายใน และแผนกหม้อแปลงเป็นทรัพย์สินของผู้ใช้ไฟที่จะต้องดูแลบำรุงรักษาเอง สำหรับอุปกรณ์ทางบริษัทเป็นผู้จัดหาเองนั้น แม้ว่าการไฟฟ้าส่วนภูมิภาคตรวจสอบแล้วก็ตาม หากเกิดความเสียหายหรืออันตรายภายหลัง การไฟฟ้าส่วนภูมิภาคจะไม่รับผิดชอบใด ๆ ทั้งสิ้น ให้อยู่ในความรับผิดชอบของลูกค้าฝ่ายเดียว</v>
      </c>
    </row>
    <row r="41" spans="1:2" x14ac:dyDescent="0.25">
      <c r="B41" t="str">
        <f>IF(Customertable!B22="",
"ทั้งนี้ หากการก่อสร้างระบบไฟฟ้าดังกล่าวข้างต้น มีความจำเป็นต้องแก้ไขเปลี่ยนแปลงราคาพัสดุ และการไฟฟ้าส่วนภูมิภาคมีความจำเป็นต้องแก้ไขเปลี่ยนแปลงการก่อสร้างฯ หรืออื่น ๆ "&amp;
"การไฟฟ้าส่วนภูมิภาคจำเป็นต้องเรียกเก็บค่าใช้จ่ายในส่วนที่เพิ่มขึ้นภายหลังต่อไป",
"ทั้งนี้ หากการก่อสร้างระบบไฟฟ้าดังกล่าวข้างต้น มีความจำเป็นต้องแก้ไขเปลี่ยนแปลงการก่อสร้างฯ หรืออื่น ๆ ซึ่งอาจทำให้ค่าใช้จ่ายเพิ่มขึ้น "&amp;
"การไฟฟ้าส่วนภูมิภาคจำเป็นต้องเรียกเก็บค่าใช้จ่ายในส่วนที่เพิ่มขึ้นภายหลังอีกต่างหากด้วย และเมื่อท่านดำเนินการก่อสร้างระบบไฟฟ้าภายในแล้วเสร็จ "&amp;
"การไฟฟ้าส่วนภูมิภาคตรวจสอบมาตรฐานถูกต้องเรียบร้อย ให้ยื่นคำร้องขอใช้ไฟฟ้าและชำระค่าธรรมเนียมในการขอใช้ไฟฟ้า ดังนี้")</f>
        <v>ทั้งนี้ หากการก่อสร้างระบบไฟฟ้าดังกล่าวข้างต้น มีความจำเป็นต้องแก้ไขเปลี่ยนแปลงราคาพัสดุ และการไฟฟ้าส่วนภูมิภาคมีความจำเป็นต้องแก้ไขเปลี่ยนแปลงการก่อสร้างฯ หรืออื่น ๆ การไฟฟ้าส่วนภูมิภาคจำเป็นต้องเรียกเก็บค่าใช้จ่ายในส่วนที่เพิ่มขึ้นภายหลังต่อไป</v>
      </c>
    </row>
    <row r="43" spans="1:2" x14ac:dyDescent="0.25">
      <c r="A43" s="199" t="str">
        <f>IF(tableexpend!L19="ลูกค้าดำเนินการทั้งหมด (มป)","Data4","")</f>
        <v/>
      </c>
      <c r="B43" t="str">
        <f>_xlfn.TEXTJOIN(CHAR(10),TRUE,
B45&amp;B46,
B48)</f>
        <v>จึงเรียนมาเพื่อโปรดทราบ หากมีข้อสงสัยประการใด สอบถามรายละเอียดได้ ณ สำนักงานการไฟฟ้าส่วนภูมิภาคสาขาหาดใหญ่ ถนนเพชรเกษม ได้ทุกวันในเวลาเปิดทำการ</v>
      </c>
    </row>
    <row r="45" spans="1:2" x14ac:dyDescent="0.25">
      <c r="B45" t="str">
        <f>IF(Customertable!B22="","",
"อนึ่ง การชำระเงินให้แก่การไฟฟ้าส่วนภูมิภาคตามข้อ " &amp;
IF(Customertable!H27=0,"2.1","2.1 – 2.2") &amp;
" ให้ชำระด้วยเช็ครับรองธนาคาร (แคชเชียร์เช็ค) ดราฟท์ หรือเงินสดเท่านั้น")</f>
        <v/>
      </c>
    </row>
    <row r="46" spans="1:2" x14ac:dyDescent="0.25">
      <c r="B46" t="str">
        <f>IF(Customertable!B22="","",
"พร้อมทั้งโปรดแนบสำเนาใบทะเบียนภาษีมูลค่าเพิ่ม (ภ.พ.20) มอบให้การไฟฟ้าส่วนภูมิภาคด้วย สำหรับค่าประกันการใช้ไฟฟ้าตามข้อ " &amp;
IF(Customertable!H3=0,"2.2","2.3") &amp;
" ผู้ใช้ไฟฟ้าสามารถชำระเป็นเงินสด หรือวางหนังสือค้ำประกันของธนาคาร หรือพันธบัตรรัฐบาลแทนเงินสดได้")</f>
        <v/>
      </c>
    </row>
    <row r="48" spans="1:2" x14ac:dyDescent="0.25">
      <c r="B48" t="s">
        <v>362</v>
      </c>
    </row>
    <row r="50" spans="1:2" s="200" customFormat="1" x14ac:dyDescent="0.25">
      <c r="A50" s="200" t="s">
        <v>387</v>
      </c>
    </row>
    <row r="51" spans="1:2" x14ac:dyDescent="0.25">
      <c r="A51" s="199" t="str">
        <f>IF(tableexpend!L19="ลูกค้าดำเนินการทั้งหมด (รส)","Data3","")</f>
        <v/>
      </c>
      <c r="B51" t="str">
        <f>B52&amp;CHAR(10)&amp;B53</f>
        <v>กำหนดยืนราคาภายในระยะเวลา 90 วัน นับจากวันที่แจ้งค่าใช้จ่ายให้ผู้ใช้ไฟทราบ เมื่อก่อสร้างแล้วเสร็จ ทรัพย์สินในแผนกมิเตอร์วัดพลังงานไฟฟ้าเป็นของการไฟฟ้าส่วนภูมิภาคที่จะดูแลและบำรุงรักษา ส่วนทรัพย์สินในแผนกแรงสูงภายในเป็นทรัพย์สินของผู้ใช้ไฟที่จะต้องดูแลบำรุงรักษาเอง สำหรับอุปกรณ์ทางบริษัทเป็นผู้จัดหาเองนั้น แม้ว่าการไฟฟ้าส่วนภูมิภาคตรวจสอบแล้วก็ตาม หากเกิดความเสียหายหรืออันตรายภายหลัง การไฟฟ้าส่วนภูมิภาคจะไม่รับผิดชอบใด ๆ ทั้งสิ้น ให้อยู่ในความรับผิดชอบของลูกค้าฝ่ายเดียว
ทั้งนี้ หากการก่อสร้างระบบไฟฟ้าดังกล่าวข้างต้น มีความจำเป็นต้องแก้ไขเปลี่ยนแปลงราคาพัสดุ และการไฟฟ้าส่วนภูมิภาคมีความจำเป็นต้องแก้ไขเปลี่ยนแปลงการก่อสร้างฯ หรืออื่น ๆ การไฟฟ้าส่วนภูมิภาคจำเป็นต้องเรียกเก็บค่าใช้จ่ายในส่วนที่เพิ่มขึ้นภายหลังต่อไป</v>
      </c>
    </row>
    <row r="52" spans="1:2" x14ac:dyDescent="0.25">
      <c r="B52" t="str">
        <f>"กำหนดยืนราคาภายในระยะเวลา 90 วัน นับจากวันที่แจ้งค่าใช้จ่ายให้ผู้ใช้ไฟทราบ เมื่อก่อสร้างแล้วเสร็จ " &amp;
"ทรัพย์สินในแผนกมิเตอร์วัดพลังงานไฟฟ้าเป็นของการไฟฟ้าส่วนภูมิภาคที่จะดูแลและบำรุงรักษา " &amp;
"ส่วนทรัพย์สินในแผนกแรงสูงภายในเป็นทรัพย์สินของผู้ใช้ไฟที่จะต้องดูแลบำรุงรักษาเอง " &amp;
"สำหรับอุปกรณ์ทางบริษัทเป็นผู้จัดหาเองนั้น แม้ว่าการไฟฟ้าส่วนภูมิภาคตรวจสอบแล้วก็ตาม " &amp;
"หากเกิดความเสียหายหรืออันตรายภายหลัง การไฟฟ้าส่วนภูมิภาคจะไม่รับผิดชอบใด ๆ ทั้งสิ้น " &amp;
"ให้อยู่ในความรับผิดชอบของลูกค้าฝ่ายเดียว" &amp;
IF(tableexpend!P3=1,
" อนึ่ง การไฟฟ้าส่วนภูมิภาคได้รับชำระเงินค่าตรวจสอบแบบและแผนผัง (รวมภาษีมูลค่าเพิ่ม) ไว้แล้วจำนวน 5,350.- บาท"&amp;B8,
"")</f>
        <v>กำหนดยืนราคาภายในระยะเวลา 90 วัน นับจากวันที่แจ้งค่าใช้จ่ายให้ผู้ใช้ไฟทราบ เมื่อก่อสร้างแล้วเสร็จ ทรัพย์สินในแผนกมิเตอร์วัดพลังงานไฟฟ้าเป็นของการไฟฟ้าส่วนภูมิภาคที่จะดูแลและบำรุงรักษา ส่วนทรัพย์สินในแผนกแรงสูงภายในเป็นทรัพย์สินของผู้ใช้ไฟที่จะต้องดูแลบำรุงรักษาเอง สำหรับอุปกรณ์ทางบริษัทเป็นผู้จัดหาเองนั้น แม้ว่าการไฟฟ้าส่วนภูมิภาคตรวจสอบแล้วก็ตาม หากเกิดความเสียหายหรืออันตรายภายหลัง การไฟฟ้าส่วนภูมิภาคจะไม่รับผิดชอบใด ๆ ทั้งสิ้น ให้อยู่ในความรับผิดชอบของลูกค้าฝ่ายเดียว</v>
      </c>
    </row>
    <row r="53" spans="1:2" x14ac:dyDescent="0.25">
      <c r="B53" t="str">
        <f>IF(Customertable!B22="",
"ทั้งนี้ หากการก่อสร้างระบบไฟฟ้าดังกล่าวข้างต้น มีความจำเป็นต้องแก้ไขเปลี่ยนแปลงราคาพัสดุ และการไฟฟ้าส่วนภูมิภาคมีความจำเป็นต้องแก้ไขเปลี่ยนแปลงการก่อสร้างฯ หรืออื่น ๆ "&amp;
"การไฟฟ้าส่วนภูมิภาคจำเป็นต้องเรียกเก็บค่าใช้จ่ายในส่วนที่เพิ่มขึ้นภายหลังต่อไป",
"ทั้งนี้ หากการก่อสร้างระบบไฟฟ้าดังกล่าวข้างต้น มีความจำเป็นต้องแก้ไขเปลี่ยนแปลงการก่อสร้างฯ หรืออื่น ๆ ซึ่งอาจทำให้ค่าใช้จ่ายเพิ่มขึ้น "&amp;
"การไฟฟ้าส่วนภูมิภาคจำเป็นต้องเรียกเก็บค่าใช้จ่ายในส่วนที่เพิ่มขึ้นภายหลังอีกต่างหากด้วย และเมื่อท่านดำเนินการก่อสร้างระบบไฟฟ้าภายในแล้วเสร็จ "&amp;
"การไฟฟ้าส่วนภูมิภาคตรวจสอบมาตรฐานถูกต้องเรียบร้อย ให้ยื่นคำร้องขอใช้ไฟฟ้าและชำระค่าธรรมเนียมในการขอใช้ไฟฟ้า ดังนี้")</f>
        <v>ทั้งนี้ หากการก่อสร้างระบบไฟฟ้าดังกล่าวข้างต้น มีความจำเป็นต้องแก้ไขเปลี่ยนแปลงราคาพัสดุ และการไฟฟ้าส่วนภูมิภาคมีความจำเป็นต้องแก้ไขเปลี่ยนแปลงการก่อสร้างฯ หรืออื่น ๆ การไฟฟ้าส่วนภูมิภาคจำเป็นต้องเรียกเก็บค่าใช้จ่ายในส่วนที่เพิ่มขึ้นภายหลังต่อไป</v>
      </c>
    </row>
    <row r="55" spans="1:2" x14ac:dyDescent="0.25">
      <c r="A55" s="199" t="str">
        <f>IF(tableexpend!L19="ลูกค้าดำเนินการทั้งหมด (รส)","Data4","")</f>
        <v/>
      </c>
      <c r="B55" t="str">
        <f>_xlfn.TEXTJOIN(CHAR(10),TRUE,
B45&amp;B46,
B48)</f>
        <v>จึงเรียนมาเพื่อโปรดทราบ หากมีข้อสงสัยประการใด สอบถามรายละเอียดได้ ณ สำนักงานการไฟฟ้าส่วนภูมิภาคสาขาหาดใหญ่ ถนนเพชรเกษม ได้ทุกวันในเวลาเปิดทำการ</v>
      </c>
    </row>
    <row r="57" spans="1:2" x14ac:dyDescent="0.25">
      <c r="B57" t="str">
        <f>IF(Customertable!B22="","",
"อนึ่ง การชำระเงินให้แก่การไฟฟ้าส่วนภูมิภาคตามข้อ " &amp;
IF(Customertable!H27=0,"2.1","2.1 – 2.2") &amp;
" ให้ชำระด้วยเช็ครับรองธนาคาร (แคชเชียร์เช็ค) ดราฟท์ หรือเงินสดเท่านั้น")</f>
        <v/>
      </c>
    </row>
    <row r="58" spans="1:2" x14ac:dyDescent="0.25">
      <c r="B58" t="str">
        <f>IF(Customertable!B22="","",
"พร้อมทั้งโปรดแนบสำเนาใบทะเบียนภาษีมูลค่าเพิ่ม (ภ.พ.20) มอบให้การไฟฟ้าส่วนภูมิภาคด้วย สำหรับค่าประกันการใช้ไฟฟ้าตามข้อ " &amp;
IF(Customertable!H3=0,"2.2","2.3") &amp;
" ผู้ใช้ไฟฟ้าสามารถชำระเป็นเงินสด หรือวางหนังสือค้ำประกันของธนาคาร หรือพันธบัตรรัฐบาลแทนเงินสดได้")</f>
        <v/>
      </c>
    </row>
    <row r="60" spans="1:2" x14ac:dyDescent="0.25">
      <c r="B60" t="s">
        <v>362</v>
      </c>
    </row>
    <row r="62" spans="1:2" s="200" customFormat="1" x14ac:dyDescent="0.25">
      <c r="A62" s="200" t="s">
        <v>390</v>
      </c>
    </row>
    <row r="63" spans="1:2" x14ac:dyDescent="0.25">
      <c r="A63" s="199" t="str">
        <f>IF(tableexpend!L19="ลูกค้าดำเนินการทั้งหมด (รต)","Data3","")</f>
        <v/>
      </c>
      <c r="B63" t="str">
        <f>B64&amp;CHAR(10)&amp;B65</f>
        <v>กำหนดยืนราคาภายในระยะเวลา 90 วัน นับจากวันที่แจ้งค่าใช้จ่ายให้ผู้ใช้ไฟทราบ เมื่อก่อสร้างแล้วเสร็จ ทรัพย์สินในแผนกมิเตอร์วัดพลังงานไฟฟ้าเป็นของการไฟฟ้าส่วนภูมิภาคที่จะดูแลและบำรุงรักษา ส่วนทรัพย์สินในแผนกแรงต่ำภายในเป็นทรัพย์สินของผู้ใช้ไฟที่จะต้องดูแลบำรุงรักษาเอง สำหรับอุปกรณ์ทางบริษัทเป็นผู้จัดหาเองนั้น แม้ว่าการไฟฟ้าส่วนภูมิภาคตรวจสอบแล้วก็ตาม หากเกิดความเสียหายหรืออันตรายภายหลัง การไฟฟ้าส่วนภูมิภาคจะไม่รับผิดชอบใด ๆ ทั้งสิ้น ให้อยู่ในความรับผิดชอบของลูกค้าฝ่ายเดียว
ทั้งนี้ หากการก่อสร้างระบบไฟฟ้าดังกล่าวข้างต้น มีความจำเป็นต้องแก้ไขเปลี่ยนแปลงราคาพัสดุ และการไฟฟ้าส่วนภูมิภาคมีความจำเป็นต้องแก้ไขเปลี่ยนแปลงการก่อสร้างฯ หรืออื่น ๆ การไฟฟ้าส่วนภูมิภาคจำเป็นต้องเรียกเก็บค่าใช้จ่ายในส่วนที่เพิ่มขึ้นภายหลังต่อไป</v>
      </c>
    </row>
    <row r="64" spans="1:2" x14ac:dyDescent="0.25">
      <c r="B64" t="str">
        <f>"กำหนดยืนราคาภายในระยะเวลา 90 วัน นับจากวันที่แจ้งค่าใช้จ่ายให้ผู้ใช้ไฟทราบ เมื่อก่อสร้างแล้วเสร็จ " &amp;
"ทรัพย์สินในแผนกมิเตอร์วัดพลังงานไฟฟ้าเป็นของการไฟฟ้าส่วนภูมิภาคที่จะดูแลและบำรุงรักษา " &amp;
"ส่วนทรัพย์สินในแผนกแรงต่ำภายในเป็นทรัพย์สินของผู้ใช้ไฟที่จะต้องดูแลบำรุงรักษาเอง " &amp;
"สำหรับอุปกรณ์ทางบริษัทเป็นผู้จัดหาเองนั้น แม้ว่าการไฟฟ้าส่วนภูมิภาคตรวจสอบแล้วก็ตาม " &amp;
"หากเกิดความเสียหายหรืออันตรายภายหลัง การไฟฟ้าส่วนภูมิภาคจะไม่รับผิดชอบใด ๆ ทั้งสิ้น " &amp;
"ให้อยู่ในความรับผิดชอบของลูกค้าฝ่ายเดียว" &amp;
IF(tableexpend!P3=1,
" อนึ่ง การไฟฟ้าส่วนภูมิภาคได้รับชำระเงินค่าตรวจสอบแบบและแผนผัง (รวมภาษีมูลค่าเพิ่ม) ไว้แล้วจำนวน 5,350.- บาท"&amp;B8,
"")</f>
        <v>กำหนดยืนราคาภายในระยะเวลา 90 วัน นับจากวันที่แจ้งค่าใช้จ่ายให้ผู้ใช้ไฟทราบ เมื่อก่อสร้างแล้วเสร็จ ทรัพย์สินในแผนกมิเตอร์วัดพลังงานไฟฟ้าเป็นของการไฟฟ้าส่วนภูมิภาคที่จะดูแลและบำรุงรักษา ส่วนทรัพย์สินในแผนกแรงต่ำภายในเป็นทรัพย์สินของผู้ใช้ไฟที่จะต้องดูแลบำรุงรักษาเอง สำหรับอุปกรณ์ทางบริษัทเป็นผู้จัดหาเองนั้น แม้ว่าการไฟฟ้าส่วนภูมิภาคตรวจสอบแล้วก็ตาม หากเกิดความเสียหายหรืออันตรายภายหลัง การไฟฟ้าส่วนภูมิภาคจะไม่รับผิดชอบใด ๆ ทั้งสิ้น ให้อยู่ในความรับผิดชอบของลูกค้าฝ่ายเดียว</v>
      </c>
    </row>
    <row r="65" spans="1:2" x14ac:dyDescent="0.25">
      <c r="B65" t="str">
        <f>IF(Customertable!B22="",
"ทั้งนี้ หากการก่อสร้างระบบไฟฟ้าดังกล่าวข้างต้น มีความจำเป็นต้องแก้ไขเปลี่ยนแปลงราคาพัสดุ และการไฟฟ้าส่วนภูมิภาคมีความจำเป็นต้องแก้ไขเปลี่ยนแปลงการก่อสร้างฯ หรืออื่น ๆ "&amp;
"การไฟฟ้าส่วนภูมิภาคจำเป็นต้องเรียกเก็บค่าใช้จ่ายในส่วนที่เพิ่มขึ้นภายหลังต่อไป",
"ทั้งนี้ หากการก่อสร้างระบบไฟฟ้าดังกล่าวข้างต้น มีความจำเป็นต้องแก้ไขเปลี่ยนแปลงการก่อสร้างฯ หรืออื่น ๆ ซึ่งอาจทำให้ค่าใช้จ่ายเพิ่มขึ้น "&amp;
"การไฟฟ้าส่วนภูมิภาคจำเป็นต้องเรียกเก็บค่าใช้จ่ายในส่วนที่เพิ่มขึ้นภายหลังอีกต่างหากด้วย และเมื่อท่านดำเนินการก่อสร้างระบบไฟฟ้าภายในแล้วเสร็จ "&amp;
"การไฟฟ้าส่วนภูมิภาคตรวจสอบมาตรฐานถูกต้องเรียบร้อย ให้ยื่นคำร้องขอใช้ไฟฟ้าและชำระค่าธรรมเนียมในการขอใช้ไฟฟ้า ดังนี้")</f>
        <v>ทั้งนี้ หากการก่อสร้างระบบไฟฟ้าดังกล่าวข้างต้น มีความจำเป็นต้องแก้ไขเปลี่ยนแปลงราคาพัสดุ และการไฟฟ้าส่วนภูมิภาคมีความจำเป็นต้องแก้ไขเปลี่ยนแปลงการก่อสร้างฯ หรืออื่น ๆ การไฟฟ้าส่วนภูมิภาคจำเป็นต้องเรียกเก็บค่าใช้จ่ายในส่วนที่เพิ่มขึ้นภายหลังต่อไป</v>
      </c>
    </row>
    <row r="67" spans="1:2" x14ac:dyDescent="0.25">
      <c r="A67" s="199" t="str">
        <f>IF(tableexpend!L19="ลูกค้าดำเนินการทั้งหมด (รต)","Data4","")</f>
        <v/>
      </c>
      <c r="B67" t="str">
        <f>_xlfn.TEXTJOIN(CHAR(10),TRUE,
B45&amp;B46,
B48)</f>
        <v>จึงเรียนมาเพื่อโปรดทราบ หากมีข้อสงสัยประการใด สอบถามรายละเอียดได้ ณ สำนักงานการไฟฟ้าส่วนภูมิภาคสาขาหาดใหญ่ ถนนเพชรเกษม ได้ทุกวันในเวลาเปิดทำการ</v>
      </c>
    </row>
    <row r="69" spans="1:2" x14ac:dyDescent="0.25">
      <c r="B69" t="str">
        <f>IF(Customertable!B22="","",
"อนึ่ง การชำระเงินให้แก่การไฟฟ้าส่วนภูมิภาคตามข้อ " &amp;
IF(Customertable!H27=0,"2.1","2.1 – 2.2") &amp;
" ให้ชำระด้วยเช็ครับรองธนาคาร (แคชเชียร์เช็ค) ดราฟท์ หรือเงินสดเท่านั้น")</f>
        <v/>
      </c>
    </row>
    <row r="70" spans="1:2" x14ac:dyDescent="0.25">
      <c r="B70" t="str">
        <f>IF(Customertable!B22="","",
"พร้อมทั้งโปรดแนบสำเนาใบทะเบียนภาษีมูลค่าเพิ่ม (ภ.พ.20) มอบให้การไฟฟ้าส่วนภูมิภาคด้วย สำหรับค่าประกันการใช้ไฟฟ้าตามข้อ " &amp;
IF(Customertable!H3=0,"2.2","2.3") &amp;
" ผู้ใช้ไฟฟ้าสามารถชำระเป็นเงินสด หรือวางหนังสือค้ำประกันของธนาคาร หรือพันธบัตรรัฐบาลแทนเงินสดได้")</f>
        <v/>
      </c>
    </row>
    <row r="72" spans="1:2" x14ac:dyDescent="0.25">
      <c r="B72" t="s">
        <v>362</v>
      </c>
    </row>
    <row r="74" spans="1:2" s="200" customFormat="1" x14ac:dyDescent="0.25">
      <c r="A74" s="200" t="s">
        <v>371</v>
      </c>
    </row>
    <row r="75" spans="1:2" x14ac:dyDescent="0.25">
      <c r="A75" s="199" t="str">
        <f>IF(tableexpend!L19="แขวงทางหลวง","Data3","")</f>
        <v>Data3</v>
      </c>
      <c r="B75" t="str">
        <f xml:space="preserve"> B76&amp;CHAR(10) &amp;B77&amp;CHAR(10) &amp;B78&amp;CHAR(10) &amp;B79&amp;CHAR(10) &amp;B80&amp;CHAR(10)</f>
        <v xml:space="preserve">กำหนดยืนราคา ภายในระยะเวลา 180 วัน นับจากวันที่แจ้งค่าใช้จ่ายฉบับนี้ให้ท่านทราบ เมื่อก่อสร้างแล้วเสร็จ ทรัพย์สินแผนกหม้อแปลง เป็นของท่าน ซึ่งจะต้องดูแลบำรุงรักษาเอง (ยกเว้นเครื่องวัดพลังงานไฟฟ้า และอุปกรณ์ประกอบ)
ทั้งนี้หากการก่อสร้างระบบไฟฟ้า ดังกล่าวข้างต้น มีความจำเป็นต้องแก้ไขเปลี่ยนแปลงการก่อสร้างฯ หรืออื่นๆ ซึ่งอาจทำให้ค่าใช้จ่ายเพิ่มขึ้น การไฟฟ้าส่วนภูมิภาค จำเป็นต้องเรียกเก็บค่าใช้จ่ายในส่วนที่เพิ่มขึ้นภายหลังอีกต่างหากด้วย
การไฟฟ้าส่วนภูมิภาค ขอเรียกเก็บค่าใช้จ่ายในการสำรวจ ออกแบบ จัดทำแผนผัง ประมาณการ เป็นจำนวนเงิน 5,350.- บาท (รวมภาษีมูลค่าเพิ่ม) แต่หากยืนยันให้การไฟฟ้าส่วนภูมิภาค ดำเนินการก่อสร้างระบบไฟฟ้าภายในบริเวณผู้ใช้ไฟ ซึ่งชำระเงินค่าก่อสร้างภายในกำหนดยืนราคา การไฟฟ้าส่วนภูมิภาค จะยกเว้นไม่เรียกเก็บค่าสำรวจ ออกแบบฯ จำนวนดังกล่าว
อนึ่ง ในการชำระเงินให้กับการไฟฟ้าส่วนภูมิภาค ตามข้อ 2.1-2.2 ให้ชำระด้วยเช็ครับรองธนาคาร (แคชเชียร์เช็ค), ดราฟท์หรือเงินสดเท่านั้น และโปรดแนบสำเนาแบบแสดงรายการจดทะเบียนภาษีมูลค่าเพิ่ม (ภ.พ.20) มามอบให้การไฟฟ้าส่วนภูมิภาค ด้วย
จึงเรียนมาเพื่อโปรดทราบ หากมีข้อสงสัยประการใด สอบถามรายละเอียดได้ ณ สำนักงานการไฟฟ้าส่วนภูมิภาคสาขาหาดใหญ่ ถนนเพชรเกษม ได้ทุกวันในเวลาเปิดทำการ
</v>
      </c>
    </row>
    <row r="76" spans="1:2" x14ac:dyDescent="0.25">
      <c r="B76" t="s">
        <v>372</v>
      </c>
    </row>
    <row r="77" spans="1:2" x14ac:dyDescent="0.25">
      <c r="B77" t="s">
        <v>373</v>
      </c>
    </row>
    <row r="78" spans="1:2" x14ac:dyDescent="0.25">
      <c r="B78" t="s">
        <v>374</v>
      </c>
    </row>
    <row r="79" spans="1:2" x14ac:dyDescent="0.25">
      <c r="B79" t="s">
        <v>375</v>
      </c>
    </row>
    <row r="80" spans="1:2" x14ac:dyDescent="0.25">
      <c r="B80" t="s">
        <v>362</v>
      </c>
    </row>
    <row r="85" spans="1:3" s="198" customFormat="1" x14ac:dyDescent="0.25">
      <c r="A85" s="198" t="s">
        <v>363</v>
      </c>
    </row>
    <row r="86" spans="1:3" x14ac:dyDescent="0.25">
      <c r="A86" t="s">
        <v>350</v>
      </c>
      <c r="C86" t="str">
        <f>IF(Customertable!B23&lt;&gt;"","Table4","")</f>
        <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F95B3-EE51-4596-AE0A-47012D406D8B}">
  <sheetPr codeName="Sheet4"/>
  <dimension ref="A1:H13"/>
  <sheetViews>
    <sheetView showWhiteSpace="0" zoomScale="70" zoomScaleNormal="70" zoomScaleSheetLayoutView="100" zoomScalePageLayoutView="55" workbookViewId="0">
      <selection activeCell="E21" sqref="E21"/>
    </sheetView>
  </sheetViews>
  <sheetFormatPr defaultColWidth="8" defaultRowHeight="21" x14ac:dyDescent="0.4"/>
  <cols>
    <col min="1" max="1" width="10.09765625" style="1" customWidth="1"/>
    <col min="2" max="2" width="13.5" style="1" customWidth="1"/>
    <col min="3" max="3" width="8.3984375" style="1" customWidth="1"/>
    <col min="4" max="4" width="10.19921875" style="1" customWidth="1"/>
    <col min="5" max="5" width="9.69921875" style="1" customWidth="1"/>
    <col min="6" max="6" width="11" style="1" customWidth="1"/>
    <col min="7" max="7" width="11.19921875" style="1" customWidth="1"/>
    <col min="8" max="8" width="10.19921875" style="1" customWidth="1"/>
    <col min="9" max="9" width="10.09765625" style="1" customWidth="1"/>
    <col min="10" max="12" width="8" style="1"/>
    <col min="13" max="13" width="6.19921875" style="1" customWidth="1"/>
    <col min="14" max="14" width="8" style="1"/>
    <col min="15" max="15" width="4.5" style="1" customWidth="1"/>
    <col min="16" max="16" width="8" style="1"/>
    <col min="17" max="17" width="4.8984375" style="1" customWidth="1"/>
    <col min="18" max="18" width="8" style="1"/>
    <col min="19" max="19" width="8.69921875" style="1" customWidth="1"/>
    <col min="20" max="20" width="11.09765625" style="1" bestFit="1" customWidth="1"/>
    <col min="21" max="16384" width="8" style="1"/>
  </cols>
  <sheetData>
    <row r="1" spans="1:8" ht="32.25" customHeight="1" x14ac:dyDescent="0.4">
      <c r="C1" s="76" t="s">
        <v>15</v>
      </c>
      <c r="D1" s="75"/>
    </row>
    <row r="2" spans="1:8" ht="24" customHeight="1" x14ac:dyDescent="0.4">
      <c r="A2" s="74" t="s">
        <v>14</v>
      </c>
      <c r="B2" s="17"/>
      <c r="C2" s="74" t="s">
        <v>46</v>
      </c>
      <c r="D2" s="224" t="str">
        <f>IF(หน้าหลัก!E5 &lt;&gt;"",หน้าหลัก!B5&amp;หน้าหลัก!E5,"")</f>
        <v>TF09-0A3/690796</v>
      </c>
      <c r="E2" s="224"/>
    </row>
    <row r="3" spans="1:8" ht="24.75" customHeight="1" x14ac:dyDescent="0.4">
      <c r="A3" s="74" t="s">
        <v>34</v>
      </c>
      <c r="B3" s="225" t="str">
        <f>IF(หน้าหลัก!B2="","",หน้าหลัก!B2&amp;" ")
&amp;IF(หน้าหลัก!B4="","","บ้านเลขที่ "&amp;หน้าหลัก!B4&amp;" ")
&amp;IF(หน้าหลัก!C4="","","หมู่ "&amp;หน้าหลัก!C4&amp;" ")
&amp;IF(หน้าหลัก!D4="","","ซอย "&amp;หน้าหลัก!D4&amp;"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
&amp;IF(หน้าหลัก!I4="","",หน้าหลัก!I4)</f>
        <v>แขวงทางหลวงสงขลาที่ 1 หน้าศูนย์กระจายสินค้า (จุดที่ 2) บ้านเลขที่ หน้าศูนย์กระจายสินค้า (จุดที่ 2) ตำบลท่าช้าง อำเภอบางกล่ำ จังหวัดสงขลา 90110</v>
      </c>
      <c r="C3" s="225"/>
      <c r="D3" s="225"/>
      <c r="E3" s="225"/>
      <c r="F3" s="225"/>
      <c r="G3" s="225"/>
      <c r="H3" s="225"/>
    </row>
    <row r="4" spans="1:8" ht="21.6" thickBot="1" x14ac:dyDescent="0.45">
      <c r="A4" s="18"/>
      <c r="B4" s="226"/>
      <c r="C4" s="226"/>
      <c r="D4" s="226"/>
      <c r="E4" s="226"/>
      <c r="F4" s="226"/>
      <c r="G4" s="226"/>
      <c r="H4" s="226"/>
    </row>
    <row r="5" spans="1:8" ht="41.25" customHeight="1" thickTop="1" thickBot="1" x14ac:dyDescent="0.45">
      <c r="A5" s="227" t="s">
        <v>35</v>
      </c>
      <c r="B5" s="227"/>
      <c r="C5" s="227"/>
      <c r="D5" s="227"/>
      <c r="E5" s="227"/>
      <c r="F5" s="227"/>
      <c r="G5" s="227"/>
      <c r="H5" s="227"/>
    </row>
    <row r="6" spans="1:8" ht="21.6" thickTop="1" x14ac:dyDescent="0.4">
      <c r="A6" s="228" t="s">
        <v>36</v>
      </c>
      <c r="B6" s="228"/>
      <c r="C6" s="12"/>
      <c r="D6" s="17" t="s">
        <v>37</v>
      </c>
      <c r="E6" s="17" t="s">
        <v>38</v>
      </c>
      <c r="F6" s="72" t="s">
        <v>39</v>
      </c>
      <c r="G6" s="17" t="s">
        <v>40</v>
      </c>
      <c r="H6" s="17" t="s">
        <v>41</v>
      </c>
    </row>
    <row r="7" spans="1:8" ht="27.75" customHeight="1" thickBot="1" x14ac:dyDescent="0.45">
      <c r="A7" s="229"/>
      <c r="B7" s="229"/>
      <c r="C7" s="55"/>
      <c r="D7" s="194" t="s">
        <v>17</v>
      </c>
      <c r="E7" s="194" t="s">
        <v>42</v>
      </c>
      <c r="F7" s="194" t="s">
        <v>17</v>
      </c>
      <c r="G7" s="194" t="s">
        <v>43</v>
      </c>
      <c r="H7" s="55"/>
    </row>
    <row r="8" spans="1:8" ht="29.25" customHeight="1" thickTop="1" thickBot="1" x14ac:dyDescent="0.45">
      <c r="A8" s="227" t="s">
        <v>41</v>
      </c>
      <c r="B8" s="227"/>
      <c r="C8" s="57"/>
      <c r="D8" s="70" t="e">
        <f>SUM(#REF!)</f>
        <v>#REF!</v>
      </c>
      <c r="E8" s="71"/>
      <c r="F8" s="73" t="e">
        <f>SUM(#REF!)</f>
        <v>#REF!</v>
      </c>
      <c r="G8" s="57"/>
      <c r="H8" s="56" t="e">
        <f t="shared" ref="H8:H9" si="0">SUM(D8+F8)</f>
        <v>#REF!</v>
      </c>
    </row>
    <row r="9" spans="1:8" ht="32.25" customHeight="1" thickTop="1" thickBot="1" x14ac:dyDescent="0.45">
      <c r="A9" s="227" t="s">
        <v>39</v>
      </c>
      <c r="B9" s="227"/>
      <c r="C9" s="58"/>
      <c r="D9" s="59"/>
      <c r="E9" s="59"/>
      <c r="F9" s="69" t="e">
        <f>F8</f>
        <v>#REF!</v>
      </c>
      <c r="G9" s="60" t="s">
        <v>0</v>
      </c>
      <c r="H9" s="61" t="e">
        <f t="shared" si="0"/>
        <v>#REF!</v>
      </c>
    </row>
    <row r="10" spans="1:8" ht="21.6" thickTop="1" x14ac:dyDescent="0.4"/>
    <row r="11" spans="1:8" x14ac:dyDescent="0.4">
      <c r="F11" s="12" t="s">
        <v>6</v>
      </c>
      <c r="G11" s="223"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H11" s="223"/>
    </row>
    <row r="12" spans="1:8" x14ac:dyDescent="0.4">
      <c r="F12" s="12" t="s">
        <v>5</v>
      </c>
      <c r="G12" s="223"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H12" s="223"/>
    </row>
    <row r="13" spans="1:8" x14ac:dyDescent="0.4">
      <c r="F13" s="12" t="s">
        <v>4</v>
      </c>
      <c r="G13" s="223"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H13" s="223"/>
    </row>
  </sheetData>
  <mergeCells count="9">
    <mergeCell ref="G11:H11"/>
    <mergeCell ref="G12:H12"/>
    <mergeCell ref="G13:H13"/>
    <mergeCell ref="D2:E2"/>
    <mergeCell ref="A8:B8"/>
    <mergeCell ref="A9:B9"/>
    <mergeCell ref="A6:B7"/>
    <mergeCell ref="A5:H5"/>
    <mergeCell ref="B3:H4"/>
  </mergeCells>
  <pageMargins left="0.59055118110236215" right="0.59055118110236215" top="0.59055118110236215" bottom="0.59055118110236215" header="0.59055118110236215" footer="0.59055118110236215"/>
  <pageSetup paperSize="9" fitToWidth="0"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85161-341F-40CE-B59D-C1DA1AA31C78}">
  <sheetPr codeName="Sheet6"/>
  <dimension ref="A1:F11"/>
  <sheetViews>
    <sheetView workbookViewId="0">
      <selection sqref="A1:A1048576"/>
    </sheetView>
  </sheetViews>
  <sheetFormatPr defaultRowHeight="13.8" x14ac:dyDescent="0.25"/>
  <cols>
    <col min="1" max="1" width="10.3984375" bestFit="1" customWidth="1"/>
    <col min="3" max="3" width="8.09765625" bestFit="1" customWidth="1"/>
    <col min="4" max="4" width="8.59765625" bestFit="1" customWidth="1"/>
    <col min="5" max="6" width="12.09765625" bestFit="1" customWidth="1"/>
  </cols>
  <sheetData>
    <row r="1" spans="1:6" x14ac:dyDescent="0.25">
      <c r="A1" s="66" t="s">
        <v>56</v>
      </c>
      <c r="B1" s="66" t="s">
        <v>82</v>
      </c>
      <c r="C1" t="s">
        <v>106</v>
      </c>
      <c r="D1" s="66" t="s">
        <v>57</v>
      </c>
      <c r="E1" s="66" t="s">
        <v>84</v>
      </c>
      <c r="F1" s="66" t="s">
        <v>83</v>
      </c>
    </row>
    <row r="2" spans="1:6" x14ac:dyDescent="0.25">
      <c r="A2" s="66">
        <v>498712</v>
      </c>
      <c r="B2" s="66" t="s">
        <v>64</v>
      </c>
      <c r="C2" s="66" t="s">
        <v>85</v>
      </c>
      <c r="D2" s="66" t="s">
        <v>86</v>
      </c>
      <c r="E2" s="66" t="s">
        <v>87</v>
      </c>
      <c r="F2" s="66" t="s">
        <v>65</v>
      </c>
    </row>
    <row r="3" spans="1:6" x14ac:dyDescent="0.25">
      <c r="A3" s="66">
        <v>505947</v>
      </c>
      <c r="B3" s="66" t="s">
        <v>66</v>
      </c>
      <c r="C3" s="66" t="s">
        <v>85</v>
      </c>
      <c r="D3" s="66" t="s">
        <v>88</v>
      </c>
      <c r="E3" s="66" t="s">
        <v>89</v>
      </c>
      <c r="F3" s="66" t="s">
        <v>67</v>
      </c>
    </row>
    <row r="4" spans="1:6" x14ac:dyDescent="0.25">
      <c r="A4" s="66">
        <v>508497</v>
      </c>
      <c r="B4" s="66" t="s">
        <v>68</v>
      </c>
      <c r="C4" s="66" t="s">
        <v>90</v>
      </c>
      <c r="D4" s="66" t="s">
        <v>91</v>
      </c>
      <c r="E4" s="66" t="s">
        <v>92</v>
      </c>
      <c r="F4" s="66" t="s">
        <v>69</v>
      </c>
    </row>
    <row r="5" spans="1:6" x14ac:dyDescent="0.25">
      <c r="A5" s="66">
        <v>512977</v>
      </c>
      <c r="B5" s="66" t="s">
        <v>70</v>
      </c>
      <c r="C5" s="66" t="s">
        <v>85</v>
      </c>
      <c r="D5" s="66" t="s">
        <v>93</v>
      </c>
      <c r="E5" s="66" t="s">
        <v>61</v>
      </c>
      <c r="F5" s="66" t="s">
        <v>71</v>
      </c>
    </row>
    <row r="6" spans="1:6" x14ac:dyDescent="0.25">
      <c r="A6" s="66">
        <v>506604</v>
      </c>
      <c r="B6" s="66" t="s">
        <v>72</v>
      </c>
      <c r="C6" s="66" t="s">
        <v>85</v>
      </c>
      <c r="D6" s="66" t="s">
        <v>94</v>
      </c>
      <c r="E6" s="66" t="s">
        <v>95</v>
      </c>
      <c r="F6" s="66" t="s">
        <v>73</v>
      </c>
    </row>
    <row r="7" spans="1:6" x14ac:dyDescent="0.25">
      <c r="A7" s="66">
        <v>507816</v>
      </c>
      <c r="B7" s="66" t="s">
        <v>72</v>
      </c>
      <c r="C7" s="66" t="s">
        <v>85</v>
      </c>
      <c r="D7" s="66" t="s">
        <v>96</v>
      </c>
      <c r="E7" s="66" t="s">
        <v>97</v>
      </c>
      <c r="F7" s="66" t="s">
        <v>74</v>
      </c>
    </row>
    <row r="8" spans="1:6" x14ac:dyDescent="0.25">
      <c r="A8" s="66">
        <v>507824</v>
      </c>
      <c r="B8" s="66" t="s">
        <v>72</v>
      </c>
      <c r="C8" s="66" t="s">
        <v>85</v>
      </c>
      <c r="D8" s="66" t="s">
        <v>98</v>
      </c>
      <c r="E8" s="66" t="s">
        <v>99</v>
      </c>
      <c r="F8" s="66" t="s">
        <v>75</v>
      </c>
    </row>
    <row r="9" spans="1:6" x14ac:dyDescent="0.25">
      <c r="A9" s="66">
        <v>501396</v>
      </c>
      <c r="B9" s="66" t="s">
        <v>76</v>
      </c>
      <c r="C9" s="66" t="s">
        <v>85</v>
      </c>
      <c r="D9" s="66" t="s">
        <v>100</v>
      </c>
      <c r="E9" s="66" t="s">
        <v>101</v>
      </c>
      <c r="F9" s="66" t="s">
        <v>77</v>
      </c>
    </row>
    <row r="10" spans="1:6" x14ac:dyDescent="0.25">
      <c r="A10" s="66">
        <v>514816</v>
      </c>
      <c r="B10" s="66" t="s">
        <v>78</v>
      </c>
      <c r="C10" s="66" t="s">
        <v>85</v>
      </c>
      <c r="D10" s="66" t="s">
        <v>102</v>
      </c>
      <c r="E10" s="66" t="s">
        <v>103</v>
      </c>
      <c r="F10" s="66" t="s">
        <v>79</v>
      </c>
    </row>
    <row r="11" spans="1:6" x14ac:dyDescent="0.25">
      <c r="A11" s="66">
        <v>511010</v>
      </c>
      <c r="B11" s="66" t="s">
        <v>80</v>
      </c>
      <c r="C11" s="66" t="s">
        <v>85</v>
      </c>
      <c r="D11" s="66" t="s">
        <v>104</v>
      </c>
      <c r="E11" s="66" t="s">
        <v>105</v>
      </c>
      <c r="F11" s="66" t="s">
        <v>81</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FC22B-316C-4151-87C4-28CA970A3EEC}">
  <sheetPr codeName="Sheet7"/>
  <dimension ref="A1:A3"/>
  <sheetViews>
    <sheetView workbookViewId="0">
      <selection sqref="A1:A1048576"/>
    </sheetView>
  </sheetViews>
  <sheetFormatPr defaultRowHeight="13.8" x14ac:dyDescent="0.25"/>
  <cols>
    <col min="1" max="1" width="21.59765625" customWidth="1"/>
    <col min="2" max="2" width="16.5" customWidth="1"/>
    <col min="3" max="3" width="13.3984375" customWidth="1"/>
    <col min="4" max="4" width="16.09765625" customWidth="1"/>
  </cols>
  <sheetData>
    <row r="1" spans="1:1" x14ac:dyDescent="0.25">
      <c r="A1" t="s">
        <v>11</v>
      </c>
    </row>
    <row r="2" spans="1:1" x14ac:dyDescent="0.25">
      <c r="A2" t="s">
        <v>10</v>
      </c>
    </row>
    <row r="3" spans="1:1" x14ac:dyDescent="0.25">
      <c r="A3" t="s">
        <v>118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0E737-E264-4F1F-AE94-9332887DE9C3}">
  <sheetPr codeName="Sheet8"/>
  <dimension ref="A1:A5"/>
  <sheetViews>
    <sheetView workbookViewId="0">
      <selection sqref="A1:A5"/>
    </sheetView>
  </sheetViews>
  <sheetFormatPr defaultRowHeight="13.8" x14ac:dyDescent="0.25"/>
  <cols>
    <col min="1" max="1" width="16.3984375" customWidth="1"/>
  </cols>
  <sheetData>
    <row r="1" spans="1:1" x14ac:dyDescent="0.25">
      <c r="A1" t="s">
        <v>119</v>
      </c>
    </row>
    <row r="2" spans="1:1" x14ac:dyDescent="0.25">
      <c r="A2" t="s">
        <v>120</v>
      </c>
    </row>
    <row r="3" spans="1:1" x14ac:dyDescent="0.25">
      <c r="A3" t="s">
        <v>121</v>
      </c>
    </row>
    <row r="4" spans="1:1" x14ac:dyDescent="0.25">
      <c r="A4" t="s">
        <v>120</v>
      </c>
    </row>
    <row r="5" spans="1:1" x14ac:dyDescent="0.25">
      <c r="A5" t="s">
        <v>122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065BC-535F-4602-98E8-16E0C9473CBB}">
  <sheetPr codeName="Sheet9"/>
  <dimension ref="A1:A5"/>
  <sheetViews>
    <sheetView workbookViewId="0">
      <selection sqref="A1:A5"/>
    </sheetView>
  </sheetViews>
  <sheetFormatPr defaultRowHeight="13.8" x14ac:dyDescent="0.25"/>
  <cols>
    <col min="1" max="1" width="17.19921875" customWidth="1"/>
  </cols>
  <sheetData>
    <row r="1" spans="1:1" x14ac:dyDescent="0.25">
      <c r="A1" t="s">
        <v>123</v>
      </c>
    </row>
    <row r="2" spans="1:1" x14ac:dyDescent="0.25">
      <c r="A2" t="s">
        <v>124</v>
      </c>
    </row>
    <row r="3" spans="1:1" x14ac:dyDescent="0.25">
      <c r="A3" t="s">
        <v>125</v>
      </c>
    </row>
    <row r="4" spans="1:1" x14ac:dyDescent="0.25">
      <c r="A4" t="s">
        <v>124</v>
      </c>
    </row>
    <row r="5" spans="1:1" x14ac:dyDescent="0.25">
      <c r="A5" t="s">
        <v>122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7C260-B548-4645-8B4D-8DED9F925745}">
  <sheetPr codeName="Sheet11"/>
  <dimension ref="B1:J1023"/>
  <sheetViews>
    <sheetView workbookViewId="0"/>
  </sheetViews>
  <sheetFormatPr defaultRowHeight="13.8" x14ac:dyDescent="0.25"/>
  <cols>
    <col min="2" max="2" width="26.59765625" customWidth="1"/>
    <col min="3" max="3" width="6.59765625" customWidth="1"/>
    <col min="4" max="4" width="34.59765625" customWidth="1"/>
    <col min="5" max="6" width="10.59765625" customWidth="1"/>
    <col min="7" max="7" width="16.59765625" style="80" customWidth="1"/>
    <col min="8" max="8" width="8.59765625" style="78" customWidth="1"/>
    <col min="10" max="10" width="9" customWidth="1"/>
  </cols>
  <sheetData>
    <row r="1" spans="2:8" ht="21" x14ac:dyDescent="0.6">
      <c r="B1" s="81"/>
      <c r="C1" s="81"/>
      <c r="D1" s="81"/>
      <c r="E1" s="81"/>
      <c r="F1" s="81"/>
      <c r="G1" s="82"/>
      <c r="H1" s="86"/>
    </row>
    <row r="2" spans="2:8" ht="21" x14ac:dyDescent="0.25">
      <c r="B2" s="247" t="s">
        <v>11</v>
      </c>
      <c r="C2" s="247"/>
      <c r="D2" s="247"/>
      <c r="E2" s="247"/>
      <c r="F2" s="247"/>
      <c r="G2" s="247"/>
      <c r="H2" s="247"/>
    </row>
    <row r="3" spans="2:8" ht="21" x14ac:dyDescent="0.6">
      <c r="B3" s="81"/>
      <c r="C3" s="88" t="s">
        <v>126</v>
      </c>
      <c r="D3" s="81" t="s">
        <v>124</v>
      </c>
      <c r="E3" s="81"/>
      <c r="F3" s="81"/>
      <c r="G3" s="84">
        <v>24022.3</v>
      </c>
      <c r="H3" s="86" t="s">
        <v>0</v>
      </c>
    </row>
    <row r="4" spans="2:8" ht="21" x14ac:dyDescent="0.6">
      <c r="B4" s="81"/>
      <c r="C4" s="88" t="s">
        <v>127</v>
      </c>
      <c r="D4" s="81" t="s">
        <v>310</v>
      </c>
      <c r="E4" s="81"/>
      <c r="F4" s="81"/>
      <c r="G4" s="84">
        <v>1199</v>
      </c>
      <c r="H4" s="86" t="s">
        <v>0</v>
      </c>
    </row>
    <row r="5" spans="2:8" ht="21" x14ac:dyDescent="0.6">
      <c r="B5" s="81"/>
      <c r="C5" s="88" t="s">
        <v>138</v>
      </c>
      <c r="D5" s="81" t="s">
        <v>311</v>
      </c>
      <c r="E5" s="81"/>
      <c r="F5" s="81"/>
      <c r="G5" s="84">
        <v>7317</v>
      </c>
      <c r="H5" s="86" t="s">
        <v>0</v>
      </c>
    </row>
    <row r="6" spans="2:8" ht="21" x14ac:dyDescent="0.6">
      <c r="B6" s="81"/>
      <c r="C6" s="88" t="s">
        <v>139</v>
      </c>
      <c r="D6" s="81" t="s">
        <v>312</v>
      </c>
      <c r="E6" s="81"/>
      <c r="F6" s="81"/>
      <c r="G6" s="84">
        <v>395</v>
      </c>
      <c r="H6" s="86" t="s">
        <v>0</v>
      </c>
    </row>
    <row r="7" spans="2:8" ht="21" x14ac:dyDescent="0.6">
      <c r="B7" s="81"/>
      <c r="C7" s="81"/>
      <c r="D7" s="81"/>
      <c r="E7" s="81"/>
      <c r="F7" s="83" t="s">
        <v>9</v>
      </c>
      <c r="G7" s="87">
        <v>32933.300000000003</v>
      </c>
      <c r="H7" s="85" t="s">
        <v>0</v>
      </c>
    </row>
    <row r="8" spans="2:8" ht="21" x14ac:dyDescent="0.25">
      <c r="B8" s="247" t="s">
        <v>10</v>
      </c>
      <c r="C8" s="247"/>
      <c r="D8" s="247"/>
      <c r="E8" s="247"/>
      <c r="F8" s="247"/>
      <c r="G8" s="247"/>
      <c r="H8" s="247"/>
    </row>
    <row r="9" spans="2:8" ht="21" x14ac:dyDescent="0.6">
      <c r="B9" s="81"/>
      <c r="C9" s="88" t="s">
        <v>126</v>
      </c>
      <c r="D9" s="81" t="s">
        <v>303</v>
      </c>
      <c r="E9" s="81"/>
      <c r="F9" s="81"/>
      <c r="G9" s="84">
        <v>413656.25</v>
      </c>
      <c r="H9" s="86" t="s">
        <v>0</v>
      </c>
    </row>
    <row r="10" spans="2:8" ht="21" x14ac:dyDescent="0.6">
      <c r="B10" s="81"/>
      <c r="C10" s="88" t="s">
        <v>127</v>
      </c>
      <c r="D10" s="81" t="s">
        <v>314</v>
      </c>
      <c r="E10" s="81"/>
      <c r="F10" s="81"/>
      <c r="G10" s="84">
        <v>7923</v>
      </c>
      <c r="H10" s="86" t="s">
        <v>0</v>
      </c>
    </row>
    <row r="11" spans="2:8" ht="21" x14ac:dyDescent="0.6">
      <c r="B11" s="81"/>
      <c r="C11" s="88" t="s">
        <v>138</v>
      </c>
      <c r="D11" s="81" t="s">
        <v>304</v>
      </c>
      <c r="E11" s="81"/>
      <c r="F11" s="81"/>
      <c r="G11" s="84">
        <v>2669</v>
      </c>
      <c r="H11" s="86" t="s">
        <v>0</v>
      </c>
    </row>
    <row r="12" spans="2:8" ht="21" x14ac:dyDescent="0.6">
      <c r="B12" s="81"/>
      <c r="C12" s="88" t="s">
        <v>139</v>
      </c>
      <c r="D12" s="81" t="s">
        <v>120</v>
      </c>
      <c r="E12" s="81"/>
      <c r="F12" s="81"/>
      <c r="G12" s="84">
        <v>38816.67</v>
      </c>
      <c r="H12" s="86" t="s">
        <v>0</v>
      </c>
    </row>
    <row r="13" spans="2:8" ht="21" x14ac:dyDescent="0.6">
      <c r="B13" s="81"/>
      <c r="C13" s="88" t="s">
        <v>140</v>
      </c>
      <c r="D13" s="81" t="s">
        <v>327</v>
      </c>
      <c r="E13" s="81"/>
      <c r="F13" s="81"/>
      <c r="G13" s="84">
        <v>470151.25</v>
      </c>
      <c r="H13" s="86" t="s">
        <v>0</v>
      </c>
    </row>
    <row r="14" spans="2:8" ht="21" x14ac:dyDescent="0.6">
      <c r="B14" s="81"/>
      <c r="C14" s="88" t="s">
        <v>342</v>
      </c>
      <c r="D14" s="81" t="s">
        <v>328</v>
      </c>
      <c r="E14" s="81"/>
      <c r="F14" s="81"/>
      <c r="G14" s="84">
        <v>68488.25</v>
      </c>
      <c r="H14" s="86" t="s">
        <v>0</v>
      </c>
    </row>
    <row r="15" spans="2:8" ht="21" x14ac:dyDescent="0.6">
      <c r="B15" s="81"/>
      <c r="C15" s="81"/>
      <c r="D15" s="81"/>
      <c r="E15" s="81"/>
      <c r="F15" s="83" t="s">
        <v>9</v>
      </c>
      <c r="G15" s="87">
        <v>1001704.4199999999</v>
      </c>
      <c r="H15" s="85" t="s">
        <v>0</v>
      </c>
    </row>
    <row r="16" spans="2:8" ht="21" x14ac:dyDescent="0.25">
      <c r="B16" s="247" t="s">
        <v>118</v>
      </c>
      <c r="C16" s="247"/>
      <c r="D16" s="247"/>
      <c r="E16" s="247"/>
      <c r="F16" s="247"/>
      <c r="G16" s="247"/>
      <c r="H16" s="247"/>
    </row>
    <row r="17" spans="2:8" ht="21" x14ac:dyDescent="0.6">
      <c r="B17" s="81"/>
      <c r="C17" s="88" t="s">
        <v>126</v>
      </c>
      <c r="D17" s="81" t="s">
        <v>305</v>
      </c>
      <c r="E17" s="81"/>
      <c r="F17" s="81"/>
      <c r="G17" s="84">
        <v>14000</v>
      </c>
      <c r="H17" s="86" t="s">
        <v>0</v>
      </c>
    </row>
    <row r="18" spans="2:8" ht="21" x14ac:dyDescent="0.6">
      <c r="B18" s="81"/>
      <c r="C18" s="88" t="s">
        <v>127</v>
      </c>
      <c r="D18" s="81" t="s">
        <v>62</v>
      </c>
      <c r="E18" s="81"/>
      <c r="F18" s="81"/>
      <c r="G18" s="84">
        <v>570</v>
      </c>
      <c r="H18" s="86" t="s">
        <v>0</v>
      </c>
    </row>
    <row r="19" spans="2:8" ht="21" x14ac:dyDescent="0.6">
      <c r="B19" s="81"/>
      <c r="C19" s="88" t="s">
        <v>138</v>
      </c>
      <c r="D19" s="81" t="s">
        <v>39</v>
      </c>
      <c r="E19" s="81"/>
      <c r="F19" s="81"/>
      <c r="G19" s="84">
        <v>188557.15</v>
      </c>
      <c r="H19" s="86" t="s">
        <v>0</v>
      </c>
    </row>
    <row r="20" spans="2:8" ht="21" x14ac:dyDescent="0.6">
      <c r="B20" s="81"/>
      <c r="C20" s="88" t="s">
        <v>139</v>
      </c>
      <c r="D20" s="81" t="s">
        <v>341</v>
      </c>
      <c r="E20" s="81"/>
      <c r="F20" s="81"/>
      <c r="G20" s="84">
        <v>500</v>
      </c>
      <c r="H20" s="86" t="s">
        <v>0</v>
      </c>
    </row>
    <row r="21" spans="2:8" ht="21" x14ac:dyDescent="0.6">
      <c r="B21" s="81"/>
      <c r="C21" s="81"/>
      <c r="D21" s="81"/>
      <c r="E21" s="81"/>
      <c r="F21" s="83" t="s">
        <v>9</v>
      </c>
      <c r="G21" s="87">
        <v>203627.15</v>
      </c>
      <c r="H21" s="85" t="s">
        <v>0</v>
      </c>
    </row>
    <row r="22" spans="2:8" ht="19.5" customHeight="1" x14ac:dyDescent="0.25">
      <c r="B22" s="248" t="s">
        <v>144</v>
      </c>
      <c r="C22" s="248"/>
      <c r="D22" s="248"/>
      <c r="E22" s="248"/>
      <c r="F22" s="248"/>
      <c r="G22" s="248"/>
      <c r="H22" s="248"/>
    </row>
    <row r="23" spans="2:8" ht="19.5" customHeight="1" x14ac:dyDescent="0.6">
      <c r="B23" s="81"/>
      <c r="C23" s="88" t="s">
        <v>126</v>
      </c>
      <c r="D23" s="81" t="s">
        <v>333</v>
      </c>
      <c r="E23" s="81"/>
      <c r="F23" s="81"/>
      <c r="G23" s="84">
        <v>5350</v>
      </c>
      <c r="H23" s="86" t="s">
        <v>0</v>
      </c>
    </row>
    <row r="24" spans="2:8" ht="21" x14ac:dyDescent="0.6">
      <c r="B24" s="81"/>
      <c r="C24" s="81"/>
      <c r="D24" s="81"/>
      <c r="E24" s="81"/>
      <c r="F24" s="83" t="s">
        <v>9</v>
      </c>
      <c r="G24" s="87">
        <v>5350</v>
      </c>
      <c r="H24" s="85" t="s">
        <v>0</v>
      </c>
    </row>
    <row r="25" spans="2:8" ht="21" x14ac:dyDescent="0.6">
      <c r="B25" s="81"/>
      <c r="C25" s="81"/>
      <c r="D25" s="81"/>
      <c r="E25" s="81"/>
      <c r="F25" s="81"/>
      <c r="G25" s="82"/>
      <c r="H25" s="86"/>
    </row>
    <row r="26" spans="2:8" ht="21" x14ac:dyDescent="0.6">
      <c r="B26" s="246" t="s">
        <v>142</v>
      </c>
      <c r="C26" s="246"/>
      <c r="D26" s="246"/>
      <c r="E26" s="246"/>
      <c r="F26" s="246"/>
      <c r="G26" s="87">
        <v>1205331.5699999998</v>
      </c>
      <c r="H26" s="85" t="s">
        <v>0</v>
      </c>
    </row>
    <row r="27" spans="2:8" ht="21" x14ac:dyDescent="0.6">
      <c r="B27" s="246" t="s">
        <v>8</v>
      </c>
      <c r="C27" s="246"/>
      <c r="D27" s="246"/>
      <c r="E27" s="246"/>
      <c r="F27" s="246"/>
      <c r="G27" s="87">
        <v>84373.21</v>
      </c>
      <c r="H27" s="85" t="s">
        <v>0</v>
      </c>
    </row>
    <row r="28" spans="2:8" ht="21" x14ac:dyDescent="0.6">
      <c r="B28" s="246" t="s">
        <v>143</v>
      </c>
      <c r="C28" s="246"/>
      <c r="D28" s="246"/>
      <c r="E28" s="246"/>
      <c r="F28" s="246"/>
      <c r="G28" s="87">
        <v>1289704.78</v>
      </c>
      <c r="H28" s="85" t="s">
        <v>0</v>
      </c>
    </row>
    <row r="29" spans="2:8" ht="21" x14ac:dyDescent="0.6">
      <c r="B29" s="81"/>
      <c r="C29" s="81"/>
      <c r="D29" s="81"/>
      <c r="E29" s="81"/>
      <c r="F29" s="81"/>
      <c r="G29" s="82"/>
      <c r="H29" s="86"/>
    </row>
    <row r="30" spans="2:8" ht="21" x14ac:dyDescent="0.6">
      <c r="B30" s="81"/>
      <c r="C30" s="81"/>
      <c r="D30" s="81"/>
      <c r="E30" s="81"/>
      <c r="F30" s="81"/>
      <c r="G30" s="82"/>
      <c r="H30" s="86"/>
    </row>
    <row r="31" spans="2:8" ht="21" x14ac:dyDescent="0.6">
      <c r="B31" s="81"/>
      <c r="C31" s="81"/>
      <c r="D31" s="81"/>
      <c r="E31" s="81"/>
      <c r="F31" s="81"/>
      <c r="G31" s="82"/>
      <c r="H31" s="86"/>
    </row>
    <row r="32" spans="2:8" ht="21" x14ac:dyDescent="0.6">
      <c r="B32" s="81"/>
      <c r="C32" s="81"/>
      <c r="D32" s="81"/>
      <c r="E32" s="81"/>
      <c r="F32" s="81"/>
      <c r="G32" s="82"/>
      <c r="H32" s="86"/>
    </row>
    <row r="33" spans="2:8" ht="21" x14ac:dyDescent="0.6">
      <c r="B33" s="81"/>
      <c r="C33" s="81"/>
      <c r="D33" s="81"/>
      <c r="E33" s="81"/>
      <c r="F33" s="81"/>
      <c r="G33" s="82"/>
      <c r="H33" s="86"/>
    </row>
    <row r="34" spans="2:8" ht="21" x14ac:dyDescent="0.6">
      <c r="B34" s="81"/>
      <c r="C34" s="81"/>
      <c r="D34" s="81"/>
      <c r="E34" s="81"/>
      <c r="F34" s="81"/>
      <c r="G34" s="82"/>
      <c r="H34" s="86"/>
    </row>
    <row r="35" spans="2:8" ht="21" x14ac:dyDescent="0.6">
      <c r="B35" s="81"/>
      <c r="C35" s="81"/>
      <c r="D35" s="81"/>
      <c r="E35" s="81"/>
      <c r="F35" s="81"/>
      <c r="G35" s="82"/>
      <c r="H35" s="86"/>
    </row>
    <row r="36" spans="2:8" ht="21" x14ac:dyDescent="0.6">
      <c r="B36" s="81"/>
      <c r="C36" s="81"/>
      <c r="D36" s="81"/>
      <c r="E36" s="81"/>
      <c r="F36" s="81"/>
      <c r="G36" s="82"/>
      <c r="H36" s="86"/>
    </row>
    <row r="37" spans="2:8" ht="21" x14ac:dyDescent="0.6">
      <c r="B37" s="81"/>
      <c r="C37" s="81"/>
      <c r="D37" s="81"/>
      <c r="E37" s="81"/>
      <c r="F37" s="81"/>
      <c r="G37" s="82"/>
      <c r="H37" s="86"/>
    </row>
    <row r="38" spans="2:8" ht="21" x14ac:dyDescent="0.6">
      <c r="B38" s="81"/>
      <c r="C38" s="81"/>
      <c r="D38" s="81"/>
      <c r="E38" s="81"/>
      <c r="F38" s="81"/>
      <c r="G38" s="82"/>
      <c r="H38" s="86"/>
    </row>
    <row r="39" spans="2:8" ht="21" x14ac:dyDescent="0.6">
      <c r="B39" s="81"/>
      <c r="C39" s="81"/>
      <c r="D39" s="81"/>
      <c r="E39" s="81"/>
      <c r="F39" s="81"/>
      <c r="G39" s="82"/>
      <c r="H39" s="86"/>
    </row>
    <row r="40" spans="2:8" ht="21" x14ac:dyDescent="0.6">
      <c r="B40" s="81"/>
      <c r="C40" s="81"/>
      <c r="D40" s="81"/>
      <c r="E40" s="81"/>
      <c r="F40" s="81"/>
      <c r="G40" s="82"/>
      <c r="H40" s="86"/>
    </row>
    <row r="41" spans="2:8" ht="21" x14ac:dyDescent="0.6">
      <c r="B41" s="81"/>
      <c r="C41" s="81"/>
      <c r="D41" s="81"/>
      <c r="E41" s="81"/>
      <c r="F41" s="81"/>
      <c r="G41" s="82"/>
      <c r="H41" s="86"/>
    </row>
    <row r="42" spans="2:8" ht="21" x14ac:dyDescent="0.6">
      <c r="B42" s="81"/>
      <c r="C42" s="81"/>
      <c r="D42" s="81"/>
      <c r="E42" s="81"/>
      <c r="F42" s="81"/>
      <c r="G42" s="82"/>
      <c r="H42" s="86"/>
    </row>
    <row r="43" spans="2:8" ht="21" x14ac:dyDescent="0.6">
      <c r="B43" s="81"/>
      <c r="C43" s="81"/>
      <c r="D43" s="81"/>
      <c r="E43" s="81"/>
      <c r="F43" s="81"/>
      <c r="G43" s="82"/>
      <c r="H43" s="86"/>
    </row>
    <row r="44" spans="2:8" ht="21" x14ac:dyDescent="0.6">
      <c r="B44" s="81"/>
      <c r="C44" s="81"/>
      <c r="D44" s="81"/>
      <c r="E44" s="81"/>
      <c r="F44" s="81"/>
      <c r="G44" s="82"/>
      <c r="H44" s="86"/>
    </row>
    <row r="45" spans="2:8" ht="21" x14ac:dyDescent="0.6">
      <c r="B45" s="81"/>
      <c r="C45" s="81"/>
      <c r="D45" s="81"/>
      <c r="E45" s="81"/>
      <c r="F45" s="81"/>
      <c r="G45" s="82"/>
      <c r="H45" s="86"/>
    </row>
    <row r="46" spans="2:8" ht="21" x14ac:dyDescent="0.6">
      <c r="B46" s="81"/>
      <c r="C46" s="81"/>
      <c r="D46" s="81"/>
      <c r="E46" s="81"/>
      <c r="F46" s="81"/>
      <c r="G46" s="82"/>
      <c r="H46" s="86"/>
    </row>
    <row r="47" spans="2:8" ht="21" x14ac:dyDescent="0.6">
      <c r="B47" s="81"/>
      <c r="C47" s="81"/>
      <c r="D47" s="81"/>
      <c r="E47" s="81"/>
      <c r="F47" s="81"/>
      <c r="G47" s="82"/>
      <c r="H47" s="86"/>
    </row>
    <row r="48" spans="2:8" ht="21" x14ac:dyDescent="0.6">
      <c r="B48" s="81"/>
      <c r="C48" s="81"/>
      <c r="D48" s="81"/>
      <c r="E48" s="81"/>
      <c r="F48" s="81"/>
      <c r="G48" s="82"/>
      <c r="H48" s="86"/>
    </row>
    <row r="49" spans="2:8" ht="21" x14ac:dyDescent="0.6">
      <c r="B49" s="81"/>
      <c r="C49" s="81"/>
      <c r="D49" s="81"/>
      <c r="E49" s="81"/>
      <c r="F49" s="81"/>
      <c r="G49" s="82"/>
      <c r="H49" s="86"/>
    </row>
    <row r="50" spans="2:8" ht="21" x14ac:dyDescent="0.6">
      <c r="B50" s="81"/>
      <c r="C50" s="81"/>
      <c r="D50" s="81"/>
      <c r="E50" s="81"/>
      <c r="F50" s="81"/>
      <c r="G50" s="82"/>
      <c r="H50" s="86"/>
    </row>
    <row r="51" spans="2:8" ht="21" x14ac:dyDescent="0.6">
      <c r="B51" s="81"/>
      <c r="C51" s="81"/>
      <c r="D51" s="81"/>
      <c r="E51" s="81"/>
      <c r="F51" s="81"/>
      <c r="G51" s="82"/>
      <c r="H51" s="86"/>
    </row>
    <row r="52" spans="2:8" ht="21" x14ac:dyDescent="0.6">
      <c r="B52" s="81"/>
      <c r="C52" s="81"/>
      <c r="D52" s="81"/>
      <c r="E52" s="81"/>
      <c r="F52" s="81"/>
      <c r="G52" s="82"/>
      <c r="H52" s="86"/>
    </row>
    <row r="53" spans="2:8" ht="21" x14ac:dyDescent="0.6">
      <c r="B53" s="81"/>
      <c r="C53" s="81"/>
      <c r="D53" s="81"/>
      <c r="E53" s="81"/>
      <c r="F53" s="81"/>
      <c r="G53" s="82"/>
      <c r="H53" s="86"/>
    </row>
    <row r="54" spans="2:8" ht="21" x14ac:dyDescent="0.6">
      <c r="B54" s="81"/>
      <c r="C54" s="81"/>
      <c r="D54" s="81"/>
      <c r="E54" s="81"/>
      <c r="F54" s="81"/>
      <c r="G54" s="82"/>
      <c r="H54" s="86"/>
    </row>
    <row r="55" spans="2:8" ht="21" x14ac:dyDescent="0.6">
      <c r="B55" s="81"/>
      <c r="C55" s="81"/>
      <c r="D55" s="81"/>
      <c r="E55" s="81"/>
      <c r="F55" s="81"/>
      <c r="G55" s="82"/>
      <c r="H55" s="86"/>
    </row>
    <row r="56" spans="2:8" ht="21" x14ac:dyDescent="0.6">
      <c r="B56" s="81"/>
      <c r="C56" s="81"/>
      <c r="D56" s="81"/>
      <c r="E56" s="81"/>
      <c r="F56" s="81"/>
      <c r="G56" s="82"/>
      <c r="H56" s="86"/>
    </row>
    <row r="57" spans="2:8" ht="21" x14ac:dyDescent="0.6">
      <c r="B57" s="81"/>
      <c r="C57" s="81"/>
      <c r="D57" s="81"/>
      <c r="E57" s="81"/>
      <c r="F57" s="81"/>
      <c r="G57" s="82"/>
      <c r="H57" s="86"/>
    </row>
    <row r="58" spans="2:8" ht="21" x14ac:dyDescent="0.6">
      <c r="B58" s="81"/>
      <c r="C58" s="81"/>
      <c r="D58" s="81"/>
      <c r="E58" s="81"/>
      <c r="F58" s="81"/>
      <c r="G58" s="82"/>
      <c r="H58" s="86"/>
    </row>
    <row r="59" spans="2:8" ht="21" x14ac:dyDescent="0.6">
      <c r="B59" s="81"/>
      <c r="C59" s="81"/>
      <c r="D59" s="81"/>
      <c r="E59" s="81"/>
      <c r="F59" s="81"/>
      <c r="G59" s="82"/>
      <c r="H59" s="86"/>
    </row>
    <row r="60" spans="2:8" ht="21" x14ac:dyDescent="0.6">
      <c r="B60" s="81"/>
      <c r="C60" s="81"/>
      <c r="D60" s="81"/>
      <c r="E60" s="81"/>
      <c r="F60" s="81"/>
      <c r="G60" s="82"/>
      <c r="H60" s="86"/>
    </row>
    <row r="61" spans="2:8" ht="21" x14ac:dyDescent="0.6">
      <c r="B61" s="81"/>
      <c r="C61" s="81"/>
      <c r="D61" s="81"/>
      <c r="E61" s="81"/>
      <c r="F61" s="81"/>
      <c r="G61" s="82"/>
      <c r="H61" s="86"/>
    </row>
    <row r="62" spans="2:8" ht="21" x14ac:dyDescent="0.6">
      <c r="B62" s="81"/>
      <c r="C62" s="81"/>
      <c r="D62" s="81"/>
      <c r="E62" s="81"/>
      <c r="F62" s="81"/>
      <c r="G62" s="82"/>
      <c r="H62" s="86"/>
    </row>
    <row r="63" spans="2:8" ht="21" x14ac:dyDescent="0.6">
      <c r="B63" s="81"/>
      <c r="C63" s="81"/>
      <c r="D63" s="81"/>
      <c r="E63" s="81"/>
      <c r="F63" s="81"/>
      <c r="G63" s="82"/>
      <c r="H63" s="86"/>
    </row>
    <row r="64" spans="2:8" ht="21" x14ac:dyDescent="0.6">
      <c r="B64" s="81"/>
      <c r="C64" s="81"/>
      <c r="D64" s="81"/>
      <c r="E64" s="81"/>
      <c r="F64" s="81"/>
      <c r="G64" s="82"/>
      <c r="H64" s="86"/>
    </row>
    <row r="65" spans="2:8" ht="21" x14ac:dyDescent="0.6">
      <c r="B65" s="81"/>
      <c r="C65" s="81"/>
      <c r="D65" s="81"/>
      <c r="E65" s="81"/>
      <c r="F65" s="81"/>
      <c r="G65" s="82"/>
      <c r="H65" s="86"/>
    </row>
    <row r="66" spans="2:8" ht="21" x14ac:dyDescent="0.6">
      <c r="B66" s="81"/>
      <c r="C66" s="81"/>
      <c r="D66" s="81"/>
      <c r="E66" s="81"/>
      <c r="F66" s="81"/>
      <c r="G66" s="82"/>
      <c r="H66" s="86"/>
    </row>
    <row r="67" spans="2:8" ht="21" x14ac:dyDescent="0.6">
      <c r="B67" s="81"/>
      <c r="C67" s="81"/>
      <c r="D67" s="81"/>
      <c r="E67" s="81"/>
      <c r="F67" s="81"/>
      <c r="G67" s="82"/>
      <c r="H67" s="86"/>
    </row>
    <row r="68" spans="2:8" ht="21" x14ac:dyDescent="0.6">
      <c r="B68" s="81"/>
      <c r="C68" s="81"/>
      <c r="D68" s="81"/>
      <c r="E68" s="81"/>
      <c r="F68" s="81"/>
      <c r="G68" s="82"/>
      <c r="H68" s="86"/>
    </row>
    <row r="69" spans="2:8" ht="21" x14ac:dyDescent="0.6">
      <c r="B69" s="81"/>
      <c r="C69" s="81"/>
      <c r="D69" s="81"/>
      <c r="E69" s="81"/>
      <c r="F69" s="81"/>
      <c r="G69" s="82"/>
      <c r="H69" s="86"/>
    </row>
    <row r="70" spans="2:8" ht="21" x14ac:dyDescent="0.6">
      <c r="B70" s="81"/>
      <c r="C70" s="81"/>
      <c r="D70" s="81"/>
      <c r="E70" s="81"/>
      <c r="F70" s="81"/>
      <c r="G70" s="82"/>
      <c r="H70" s="86"/>
    </row>
    <row r="71" spans="2:8" ht="21" x14ac:dyDescent="0.6">
      <c r="B71" s="81"/>
      <c r="C71" s="81"/>
      <c r="D71" s="81"/>
      <c r="E71" s="81"/>
      <c r="F71" s="81"/>
      <c r="G71" s="82"/>
      <c r="H71" s="86"/>
    </row>
    <row r="72" spans="2:8" ht="21" x14ac:dyDescent="0.6">
      <c r="B72" s="81"/>
      <c r="C72" s="81"/>
      <c r="D72" s="81"/>
      <c r="E72" s="81"/>
      <c r="F72" s="81"/>
      <c r="G72" s="82"/>
      <c r="H72" s="86"/>
    </row>
    <row r="73" spans="2:8" ht="21" x14ac:dyDescent="0.6">
      <c r="B73" s="81"/>
      <c r="C73" s="81"/>
      <c r="D73" s="81"/>
      <c r="E73" s="81"/>
      <c r="F73" s="81"/>
      <c r="G73" s="82"/>
      <c r="H73" s="86"/>
    </row>
    <row r="74" spans="2:8" ht="21" x14ac:dyDescent="0.6">
      <c r="B74" s="81"/>
      <c r="C74" s="81"/>
      <c r="D74" s="81"/>
      <c r="E74" s="81"/>
      <c r="F74" s="81"/>
      <c r="G74" s="82"/>
      <c r="H74" s="86"/>
    </row>
    <row r="75" spans="2:8" ht="21" x14ac:dyDescent="0.6">
      <c r="B75" s="81"/>
      <c r="C75" s="81"/>
      <c r="D75" s="81"/>
      <c r="E75" s="81"/>
      <c r="F75" s="81"/>
      <c r="G75" s="82"/>
      <c r="H75" s="86"/>
    </row>
    <row r="76" spans="2:8" ht="21" x14ac:dyDescent="0.6">
      <c r="B76" s="81"/>
      <c r="C76" s="81"/>
      <c r="D76" s="81"/>
      <c r="E76" s="81"/>
      <c r="F76" s="81"/>
      <c r="G76" s="82"/>
      <c r="H76" s="86"/>
    </row>
    <row r="77" spans="2:8" ht="21" x14ac:dyDescent="0.6">
      <c r="B77" s="81"/>
      <c r="C77" s="81"/>
      <c r="D77" s="81"/>
      <c r="E77" s="81"/>
      <c r="F77" s="81"/>
      <c r="G77" s="82"/>
      <c r="H77" s="86"/>
    </row>
    <row r="78" spans="2:8" ht="21" x14ac:dyDescent="0.6">
      <c r="B78" s="81"/>
      <c r="C78" s="81"/>
      <c r="D78" s="81"/>
      <c r="E78" s="81"/>
      <c r="F78" s="81"/>
      <c r="G78" s="82"/>
      <c r="H78" s="86"/>
    </row>
    <row r="79" spans="2:8" ht="21" x14ac:dyDescent="0.6">
      <c r="B79" s="81"/>
      <c r="C79" s="81"/>
      <c r="D79" s="81"/>
      <c r="E79" s="81"/>
      <c r="F79" s="81"/>
      <c r="G79" s="82"/>
      <c r="H79" s="86"/>
    </row>
    <row r="80" spans="2:8" ht="21" x14ac:dyDescent="0.6">
      <c r="B80" s="81"/>
      <c r="C80" s="81"/>
      <c r="D80" s="81"/>
      <c r="E80" s="81"/>
      <c r="F80" s="81"/>
      <c r="G80" s="82"/>
      <c r="H80" s="86"/>
    </row>
    <row r="81" spans="2:8" ht="21" x14ac:dyDescent="0.6">
      <c r="B81" s="81"/>
      <c r="C81" s="81"/>
      <c r="D81" s="81"/>
      <c r="E81" s="81"/>
      <c r="F81" s="81"/>
      <c r="G81" s="82"/>
      <c r="H81" s="86"/>
    </row>
    <row r="82" spans="2:8" ht="21" x14ac:dyDescent="0.6">
      <c r="B82" s="81"/>
      <c r="C82" s="81"/>
      <c r="D82" s="81"/>
      <c r="E82" s="81"/>
      <c r="F82" s="81"/>
      <c r="G82" s="82"/>
      <c r="H82" s="86"/>
    </row>
    <row r="83" spans="2:8" ht="21" x14ac:dyDescent="0.6">
      <c r="B83" s="81"/>
      <c r="C83" s="81"/>
      <c r="D83" s="81"/>
      <c r="E83" s="81"/>
      <c r="F83" s="81"/>
      <c r="G83" s="82"/>
      <c r="H83" s="86"/>
    </row>
    <row r="84" spans="2:8" ht="21" x14ac:dyDescent="0.6">
      <c r="B84" s="81"/>
      <c r="C84" s="81"/>
      <c r="D84" s="81"/>
      <c r="E84" s="81"/>
      <c r="F84" s="81"/>
      <c r="G84" s="82"/>
      <c r="H84" s="86"/>
    </row>
    <row r="85" spans="2:8" ht="21" x14ac:dyDescent="0.6">
      <c r="B85" s="81"/>
      <c r="C85" s="81"/>
      <c r="D85" s="81"/>
      <c r="E85" s="81"/>
      <c r="F85" s="81"/>
      <c r="G85" s="82"/>
      <c r="H85" s="86"/>
    </row>
    <row r="86" spans="2:8" ht="21" x14ac:dyDescent="0.6">
      <c r="B86" s="81"/>
      <c r="C86" s="81"/>
      <c r="D86" s="81"/>
      <c r="E86" s="81"/>
      <c r="F86" s="81"/>
      <c r="G86" s="82"/>
      <c r="H86" s="86"/>
    </row>
    <row r="87" spans="2:8" ht="21" x14ac:dyDescent="0.6">
      <c r="B87" s="81"/>
      <c r="C87" s="81"/>
      <c r="D87" s="81"/>
      <c r="E87" s="81"/>
      <c r="F87" s="81"/>
      <c r="G87" s="82"/>
      <c r="H87" s="86"/>
    </row>
    <row r="88" spans="2:8" ht="21" x14ac:dyDescent="0.6">
      <c r="B88" s="81"/>
      <c r="C88" s="81"/>
      <c r="D88" s="81"/>
      <c r="E88" s="81"/>
      <c r="F88" s="81"/>
      <c r="G88" s="82"/>
      <c r="H88" s="86"/>
    </row>
    <row r="89" spans="2:8" ht="21" x14ac:dyDescent="0.6">
      <c r="B89" s="81"/>
      <c r="C89" s="81"/>
      <c r="D89" s="81"/>
      <c r="E89" s="81"/>
      <c r="F89" s="81"/>
      <c r="G89" s="82"/>
      <c r="H89" s="86"/>
    </row>
    <row r="90" spans="2:8" ht="21" x14ac:dyDescent="0.6">
      <c r="B90" s="81"/>
      <c r="C90" s="81"/>
      <c r="D90" s="81"/>
      <c r="E90" s="81"/>
      <c r="F90" s="81"/>
      <c r="G90" s="82"/>
      <c r="H90" s="86"/>
    </row>
    <row r="91" spans="2:8" ht="21" x14ac:dyDescent="0.6">
      <c r="B91" s="81"/>
      <c r="C91" s="81"/>
      <c r="D91" s="81"/>
      <c r="E91" s="81"/>
      <c r="F91" s="81"/>
      <c r="G91" s="82"/>
      <c r="H91" s="86"/>
    </row>
    <row r="92" spans="2:8" ht="21" x14ac:dyDescent="0.6">
      <c r="B92" s="81"/>
      <c r="C92" s="81"/>
      <c r="D92" s="81"/>
      <c r="E92" s="81"/>
      <c r="F92" s="81"/>
      <c r="G92" s="82"/>
      <c r="H92" s="86"/>
    </row>
    <row r="93" spans="2:8" ht="21" x14ac:dyDescent="0.6">
      <c r="B93" s="81"/>
      <c r="C93" s="81"/>
      <c r="D93" s="81"/>
      <c r="E93" s="81"/>
      <c r="F93" s="81"/>
      <c r="G93" s="82"/>
      <c r="H93" s="86"/>
    </row>
    <row r="94" spans="2:8" ht="21" x14ac:dyDescent="0.6">
      <c r="B94" s="81"/>
      <c r="C94" s="81"/>
      <c r="D94" s="81"/>
      <c r="E94" s="81"/>
      <c r="F94" s="81"/>
      <c r="G94" s="82"/>
      <c r="H94" s="86"/>
    </row>
    <row r="95" spans="2:8" ht="21" x14ac:dyDescent="0.6">
      <c r="B95" s="81"/>
      <c r="C95" s="81"/>
      <c r="D95" s="81"/>
      <c r="E95" s="81"/>
      <c r="F95" s="81"/>
      <c r="G95" s="82"/>
      <c r="H95" s="86"/>
    </row>
    <row r="96" spans="2:8" ht="21" x14ac:dyDescent="0.6">
      <c r="B96" s="81"/>
      <c r="C96" s="81"/>
      <c r="D96" s="81"/>
      <c r="E96" s="81"/>
      <c r="F96" s="81"/>
      <c r="G96" s="82"/>
      <c r="H96" s="86"/>
    </row>
    <row r="97" spans="2:8" ht="21" x14ac:dyDescent="0.6">
      <c r="B97" s="81"/>
      <c r="C97" s="81"/>
      <c r="D97" s="81"/>
      <c r="E97" s="81"/>
      <c r="F97" s="81"/>
      <c r="G97" s="82"/>
      <c r="H97" s="86"/>
    </row>
    <row r="98" spans="2:8" ht="21" x14ac:dyDescent="0.6">
      <c r="B98" s="81"/>
      <c r="C98" s="81"/>
      <c r="D98" s="81"/>
      <c r="E98" s="81"/>
      <c r="F98" s="81"/>
      <c r="G98" s="82"/>
      <c r="H98" s="86"/>
    </row>
    <row r="99" spans="2:8" ht="21" x14ac:dyDescent="0.6">
      <c r="B99" s="81"/>
      <c r="C99" s="81"/>
      <c r="D99" s="81"/>
      <c r="E99" s="81"/>
      <c r="F99" s="81"/>
      <c r="G99" s="82"/>
      <c r="H99" s="86"/>
    </row>
    <row r="100" spans="2:8" ht="21" x14ac:dyDescent="0.6">
      <c r="B100" s="81"/>
      <c r="C100" s="81"/>
      <c r="D100" s="81"/>
      <c r="E100" s="81"/>
      <c r="F100" s="81"/>
      <c r="G100" s="82"/>
      <c r="H100" s="86"/>
    </row>
    <row r="101" spans="2:8" ht="21" x14ac:dyDescent="0.6">
      <c r="B101" s="81"/>
      <c r="C101" s="81"/>
      <c r="D101" s="81"/>
      <c r="E101" s="81"/>
      <c r="F101" s="81"/>
      <c r="G101" s="82"/>
      <c r="H101" s="86"/>
    </row>
    <row r="102" spans="2:8" ht="21" x14ac:dyDescent="0.6">
      <c r="B102" s="81"/>
      <c r="C102" s="81"/>
      <c r="D102" s="81"/>
      <c r="E102" s="81"/>
      <c r="F102" s="81"/>
      <c r="G102" s="82"/>
      <c r="H102" s="86"/>
    </row>
    <row r="103" spans="2:8" ht="21" x14ac:dyDescent="0.6">
      <c r="B103" s="81"/>
      <c r="C103" s="81"/>
      <c r="D103" s="81"/>
      <c r="E103" s="81"/>
      <c r="F103" s="81"/>
      <c r="G103" s="82"/>
      <c r="H103" s="86"/>
    </row>
    <row r="104" spans="2:8" ht="21" x14ac:dyDescent="0.6">
      <c r="B104" s="81"/>
      <c r="C104" s="81"/>
      <c r="D104" s="81"/>
      <c r="E104" s="81"/>
      <c r="F104" s="81"/>
      <c r="G104" s="82"/>
      <c r="H104" s="86"/>
    </row>
    <row r="105" spans="2:8" ht="21" x14ac:dyDescent="0.6">
      <c r="B105" s="81"/>
      <c r="C105" s="81"/>
      <c r="D105" s="81"/>
      <c r="E105" s="81"/>
      <c r="F105" s="81"/>
      <c r="G105" s="82"/>
      <c r="H105" s="86"/>
    </row>
    <row r="106" spans="2:8" ht="21" x14ac:dyDescent="0.6">
      <c r="B106" s="81"/>
      <c r="C106" s="81"/>
      <c r="D106" s="81"/>
      <c r="E106" s="81"/>
      <c r="F106" s="81"/>
      <c r="G106" s="82"/>
      <c r="H106" s="86"/>
    </row>
    <row r="107" spans="2:8" ht="21" x14ac:dyDescent="0.6">
      <c r="B107" s="81"/>
      <c r="C107" s="81"/>
      <c r="D107" s="81"/>
      <c r="E107" s="81"/>
      <c r="F107" s="81"/>
      <c r="G107" s="82"/>
      <c r="H107" s="86"/>
    </row>
    <row r="108" spans="2:8" ht="21" x14ac:dyDescent="0.6">
      <c r="B108" s="81"/>
      <c r="C108" s="81"/>
      <c r="D108" s="81"/>
      <c r="E108" s="81"/>
      <c r="F108" s="81"/>
      <c r="G108" s="82"/>
      <c r="H108" s="86"/>
    </row>
    <row r="109" spans="2:8" ht="21" x14ac:dyDescent="0.6">
      <c r="B109" s="81"/>
      <c r="C109" s="81"/>
      <c r="D109" s="81"/>
      <c r="E109" s="81"/>
      <c r="F109" s="81"/>
      <c r="G109" s="82"/>
      <c r="H109" s="86"/>
    </row>
    <row r="110" spans="2:8" ht="21" x14ac:dyDescent="0.6">
      <c r="B110" s="81"/>
      <c r="C110" s="81"/>
      <c r="D110" s="81"/>
      <c r="E110" s="81"/>
      <c r="F110" s="81"/>
      <c r="G110" s="82"/>
      <c r="H110" s="86"/>
    </row>
    <row r="111" spans="2:8" ht="21" x14ac:dyDescent="0.6">
      <c r="B111" s="81"/>
      <c r="C111" s="81"/>
      <c r="D111" s="81"/>
      <c r="E111" s="81"/>
      <c r="F111" s="81"/>
      <c r="G111" s="82"/>
      <c r="H111" s="86"/>
    </row>
    <row r="112" spans="2:8" ht="21" x14ac:dyDescent="0.6">
      <c r="B112" s="81"/>
      <c r="C112" s="81"/>
      <c r="D112" s="81"/>
      <c r="E112" s="81"/>
      <c r="F112" s="81"/>
      <c r="G112" s="82"/>
      <c r="H112" s="86"/>
    </row>
    <row r="113" spans="2:8" ht="21" x14ac:dyDescent="0.6">
      <c r="B113" s="81"/>
      <c r="C113" s="81"/>
      <c r="D113" s="81"/>
      <c r="E113" s="81"/>
      <c r="F113" s="81"/>
      <c r="G113" s="82"/>
      <c r="H113" s="86"/>
    </row>
    <row r="114" spans="2:8" ht="21" x14ac:dyDescent="0.6">
      <c r="B114" s="81"/>
      <c r="C114" s="81"/>
      <c r="D114" s="81"/>
      <c r="E114" s="81"/>
      <c r="F114" s="81"/>
      <c r="G114" s="82"/>
      <c r="H114" s="86"/>
    </row>
    <row r="115" spans="2:8" ht="21" x14ac:dyDescent="0.6">
      <c r="B115" s="81"/>
      <c r="C115" s="81"/>
      <c r="D115" s="81"/>
      <c r="E115" s="81"/>
      <c r="F115" s="81"/>
      <c r="G115" s="82"/>
      <c r="H115" s="86"/>
    </row>
    <row r="116" spans="2:8" ht="21" x14ac:dyDescent="0.6">
      <c r="B116" s="81"/>
      <c r="C116" s="81"/>
      <c r="D116" s="81"/>
      <c r="E116" s="81"/>
      <c r="F116" s="81"/>
      <c r="G116" s="82"/>
      <c r="H116" s="86"/>
    </row>
    <row r="117" spans="2:8" ht="21" x14ac:dyDescent="0.6">
      <c r="B117" s="81"/>
      <c r="C117" s="81"/>
      <c r="D117" s="81"/>
      <c r="E117" s="81"/>
      <c r="F117" s="81"/>
      <c r="G117" s="82"/>
      <c r="H117" s="86"/>
    </row>
    <row r="118" spans="2:8" ht="21" x14ac:dyDescent="0.6">
      <c r="B118" s="81"/>
      <c r="C118" s="81"/>
      <c r="D118" s="81"/>
      <c r="E118" s="81"/>
      <c r="F118" s="81"/>
      <c r="G118" s="82"/>
      <c r="H118" s="86"/>
    </row>
    <row r="119" spans="2:8" ht="21" x14ac:dyDescent="0.6">
      <c r="B119" s="81"/>
      <c r="C119" s="81"/>
      <c r="D119" s="81"/>
      <c r="E119" s="81"/>
      <c r="F119" s="81"/>
      <c r="G119" s="82"/>
      <c r="H119" s="86"/>
    </row>
    <row r="120" spans="2:8" ht="21" x14ac:dyDescent="0.6">
      <c r="B120" s="81"/>
      <c r="C120" s="81"/>
      <c r="D120" s="81"/>
      <c r="E120" s="81"/>
      <c r="F120" s="81"/>
      <c r="G120" s="82"/>
      <c r="H120" s="86"/>
    </row>
    <row r="121" spans="2:8" ht="21" x14ac:dyDescent="0.6">
      <c r="B121" s="81"/>
      <c r="C121" s="81"/>
      <c r="D121" s="81"/>
      <c r="E121" s="81"/>
      <c r="F121" s="81"/>
      <c r="G121" s="82"/>
      <c r="H121" s="86"/>
    </row>
    <row r="122" spans="2:8" ht="21" x14ac:dyDescent="0.6">
      <c r="B122" s="81"/>
      <c r="C122" s="81"/>
      <c r="D122" s="81"/>
      <c r="E122" s="81"/>
      <c r="F122" s="81"/>
      <c r="G122" s="82"/>
      <c r="H122" s="86"/>
    </row>
    <row r="123" spans="2:8" ht="21" x14ac:dyDescent="0.6">
      <c r="B123" s="81"/>
      <c r="C123" s="81"/>
      <c r="D123" s="81"/>
      <c r="E123" s="81"/>
      <c r="F123" s="81"/>
      <c r="G123" s="82"/>
      <c r="H123" s="86"/>
    </row>
    <row r="124" spans="2:8" ht="21" x14ac:dyDescent="0.6">
      <c r="B124" s="81"/>
      <c r="C124" s="81"/>
      <c r="D124" s="81"/>
      <c r="E124" s="81"/>
      <c r="F124" s="81"/>
      <c r="G124" s="82"/>
      <c r="H124" s="86"/>
    </row>
    <row r="125" spans="2:8" ht="21" x14ac:dyDescent="0.6">
      <c r="B125" s="81"/>
      <c r="C125" s="81"/>
      <c r="D125" s="81"/>
      <c r="E125" s="81"/>
      <c r="F125" s="81"/>
      <c r="G125" s="82"/>
      <c r="H125" s="86"/>
    </row>
    <row r="126" spans="2:8" ht="21" x14ac:dyDescent="0.6">
      <c r="B126" s="81"/>
      <c r="C126" s="81"/>
      <c r="D126" s="81"/>
      <c r="E126" s="81"/>
      <c r="F126" s="81"/>
      <c r="G126" s="82"/>
      <c r="H126" s="86"/>
    </row>
    <row r="127" spans="2:8" ht="21" x14ac:dyDescent="0.6">
      <c r="B127" s="81"/>
      <c r="C127" s="81"/>
      <c r="D127" s="81"/>
      <c r="E127" s="81"/>
      <c r="F127" s="81"/>
      <c r="G127" s="82"/>
      <c r="H127" s="86"/>
    </row>
    <row r="128" spans="2:8" ht="21" x14ac:dyDescent="0.6">
      <c r="B128" s="81"/>
      <c r="C128" s="81"/>
      <c r="D128" s="81"/>
      <c r="E128" s="81"/>
      <c r="F128" s="81"/>
      <c r="G128" s="82"/>
      <c r="H128" s="86"/>
    </row>
    <row r="129" spans="2:8" ht="21" x14ac:dyDescent="0.6">
      <c r="B129" s="81"/>
      <c r="C129" s="81"/>
      <c r="D129" s="81"/>
      <c r="E129" s="81"/>
      <c r="F129" s="81"/>
      <c r="G129" s="82"/>
      <c r="H129" s="86"/>
    </row>
    <row r="130" spans="2:8" ht="21" x14ac:dyDescent="0.6">
      <c r="B130" s="81"/>
      <c r="C130" s="81"/>
      <c r="D130" s="81"/>
      <c r="E130" s="81"/>
      <c r="F130" s="81"/>
      <c r="G130" s="82"/>
      <c r="H130" s="86"/>
    </row>
    <row r="131" spans="2:8" ht="21" x14ac:dyDescent="0.6">
      <c r="B131" s="81"/>
      <c r="C131" s="81"/>
      <c r="D131" s="81"/>
      <c r="E131" s="81"/>
      <c r="F131" s="81"/>
      <c r="G131" s="82"/>
      <c r="H131" s="86"/>
    </row>
    <row r="132" spans="2:8" ht="21" x14ac:dyDescent="0.6">
      <c r="B132" s="81"/>
      <c r="C132" s="81"/>
      <c r="D132" s="81"/>
      <c r="E132" s="81"/>
      <c r="F132" s="81"/>
      <c r="G132" s="82"/>
      <c r="H132" s="86"/>
    </row>
    <row r="133" spans="2:8" ht="21" x14ac:dyDescent="0.6">
      <c r="B133" s="81"/>
      <c r="C133" s="81"/>
      <c r="D133" s="81"/>
      <c r="E133" s="81"/>
      <c r="F133" s="81"/>
      <c r="G133" s="82"/>
      <c r="H133" s="86"/>
    </row>
    <row r="134" spans="2:8" ht="21" x14ac:dyDescent="0.6">
      <c r="B134" s="81"/>
      <c r="C134" s="81"/>
      <c r="D134" s="81"/>
      <c r="E134" s="81"/>
      <c r="F134" s="81"/>
      <c r="G134" s="82"/>
      <c r="H134" s="86"/>
    </row>
    <row r="135" spans="2:8" ht="21" x14ac:dyDescent="0.6">
      <c r="B135" s="81"/>
      <c r="C135" s="81"/>
      <c r="D135" s="81"/>
      <c r="E135" s="81"/>
      <c r="F135" s="81"/>
      <c r="G135" s="82"/>
      <c r="H135" s="86"/>
    </row>
    <row r="136" spans="2:8" ht="21" x14ac:dyDescent="0.6">
      <c r="B136" s="81"/>
      <c r="C136" s="81"/>
      <c r="D136" s="81"/>
      <c r="E136" s="81"/>
      <c r="F136" s="81"/>
      <c r="G136" s="82"/>
      <c r="H136" s="86"/>
    </row>
    <row r="137" spans="2:8" ht="21" x14ac:dyDescent="0.6">
      <c r="B137" s="81"/>
      <c r="C137" s="81"/>
      <c r="D137" s="81"/>
      <c r="E137" s="81"/>
      <c r="F137" s="81"/>
      <c r="G137" s="82"/>
      <c r="H137" s="86"/>
    </row>
    <row r="138" spans="2:8" ht="21" x14ac:dyDescent="0.6">
      <c r="B138" s="81"/>
      <c r="C138" s="81"/>
      <c r="D138" s="81"/>
      <c r="E138" s="81"/>
      <c r="F138" s="81"/>
      <c r="G138" s="82"/>
      <c r="H138" s="86"/>
    </row>
    <row r="139" spans="2:8" ht="21" x14ac:dyDescent="0.6">
      <c r="B139" s="81"/>
      <c r="C139" s="81"/>
      <c r="D139" s="81"/>
      <c r="E139" s="81"/>
      <c r="F139" s="81"/>
      <c r="G139" s="82"/>
      <c r="H139" s="86"/>
    </row>
    <row r="140" spans="2:8" ht="21" x14ac:dyDescent="0.6">
      <c r="B140" s="81"/>
      <c r="C140" s="81"/>
      <c r="D140" s="81"/>
      <c r="E140" s="81"/>
      <c r="F140" s="81"/>
      <c r="G140" s="82"/>
      <c r="H140" s="86"/>
    </row>
    <row r="141" spans="2:8" ht="21" x14ac:dyDescent="0.6">
      <c r="B141" s="81"/>
      <c r="C141" s="81"/>
      <c r="D141" s="81"/>
      <c r="E141" s="81"/>
      <c r="F141" s="81"/>
      <c r="G141" s="82"/>
      <c r="H141" s="86"/>
    </row>
    <row r="142" spans="2:8" ht="21" x14ac:dyDescent="0.6">
      <c r="B142" s="81"/>
      <c r="C142" s="81"/>
      <c r="D142" s="81"/>
      <c r="E142" s="81"/>
      <c r="F142" s="81"/>
      <c r="G142" s="82"/>
      <c r="H142" s="86"/>
    </row>
    <row r="143" spans="2:8" ht="21" x14ac:dyDescent="0.6">
      <c r="B143" s="81"/>
      <c r="C143" s="81"/>
      <c r="D143" s="81"/>
      <c r="E143" s="81"/>
      <c r="F143" s="81"/>
      <c r="G143" s="82"/>
      <c r="H143" s="86"/>
    </row>
    <row r="144" spans="2:8" ht="21" x14ac:dyDescent="0.6">
      <c r="B144" s="81"/>
      <c r="C144" s="81"/>
      <c r="D144" s="81"/>
      <c r="E144" s="81"/>
      <c r="F144" s="81"/>
      <c r="G144" s="82"/>
      <c r="H144" s="86"/>
    </row>
    <row r="145" spans="2:8" ht="21" x14ac:dyDescent="0.6">
      <c r="B145" s="81"/>
      <c r="C145" s="81"/>
      <c r="D145" s="81"/>
      <c r="E145" s="81"/>
      <c r="F145" s="81"/>
      <c r="G145" s="82"/>
      <c r="H145" s="86"/>
    </row>
    <row r="146" spans="2:8" ht="21" x14ac:dyDescent="0.6">
      <c r="B146" s="81"/>
      <c r="C146" s="81"/>
      <c r="D146" s="81"/>
      <c r="E146" s="81"/>
      <c r="F146" s="81"/>
      <c r="G146" s="82"/>
      <c r="H146" s="86"/>
    </row>
    <row r="147" spans="2:8" ht="21" x14ac:dyDescent="0.6">
      <c r="B147" s="81"/>
      <c r="C147" s="81"/>
      <c r="D147" s="81"/>
      <c r="E147" s="81"/>
      <c r="F147" s="81"/>
      <c r="G147" s="82"/>
      <c r="H147" s="86"/>
    </row>
    <row r="148" spans="2:8" ht="21" x14ac:dyDescent="0.6">
      <c r="B148" s="81"/>
      <c r="C148" s="81"/>
      <c r="D148" s="81"/>
      <c r="E148" s="81"/>
      <c r="F148" s="81"/>
      <c r="G148" s="82"/>
      <c r="H148" s="86"/>
    </row>
    <row r="149" spans="2:8" ht="21" x14ac:dyDescent="0.6">
      <c r="B149" s="81"/>
      <c r="C149" s="81"/>
      <c r="D149" s="81"/>
      <c r="E149" s="81"/>
      <c r="F149" s="81"/>
      <c r="G149" s="82"/>
      <c r="H149" s="86"/>
    </row>
    <row r="150" spans="2:8" ht="21" x14ac:dyDescent="0.6">
      <c r="B150" s="81"/>
      <c r="C150" s="81"/>
      <c r="D150" s="81"/>
      <c r="E150" s="81"/>
      <c r="F150" s="81"/>
      <c r="G150" s="82"/>
      <c r="H150" s="86"/>
    </row>
    <row r="151" spans="2:8" ht="21" x14ac:dyDescent="0.6">
      <c r="B151" s="81"/>
      <c r="C151" s="81"/>
      <c r="D151" s="81"/>
      <c r="E151" s="81"/>
      <c r="F151" s="81"/>
      <c r="G151" s="82"/>
      <c r="H151" s="86"/>
    </row>
    <row r="152" spans="2:8" ht="21" x14ac:dyDescent="0.6">
      <c r="B152" s="81"/>
      <c r="C152" s="81"/>
      <c r="D152" s="81"/>
      <c r="E152" s="81"/>
      <c r="F152" s="81"/>
      <c r="G152" s="82"/>
      <c r="H152" s="86"/>
    </row>
    <row r="153" spans="2:8" ht="21" x14ac:dyDescent="0.6">
      <c r="B153" s="81"/>
      <c r="C153" s="81"/>
      <c r="D153" s="81"/>
      <c r="E153" s="81"/>
      <c r="F153" s="81"/>
      <c r="G153" s="82"/>
      <c r="H153" s="86"/>
    </row>
    <row r="154" spans="2:8" ht="21" x14ac:dyDescent="0.6">
      <c r="B154" s="81"/>
      <c r="C154" s="81"/>
      <c r="D154" s="81"/>
      <c r="E154" s="81"/>
      <c r="F154" s="81"/>
      <c r="G154" s="82"/>
      <c r="H154" s="86"/>
    </row>
    <row r="155" spans="2:8" ht="21" x14ac:dyDescent="0.6">
      <c r="B155" s="81"/>
      <c r="C155" s="81"/>
      <c r="D155" s="81"/>
      <c r="E155" s="81"/>
      <c r="F155" s="81"/>
      <c r="G155" s="82"/>
      <c r="H155" s="86"/>
    </row>
    <row r="156" spans="2:8" ht="21" x14ac:dyDescent="0.6">
      <c r="B156" s="81"/>
      <c r="C156" s="81"/>
      <c r="D156" s="81"/>
      <c r="E156" s="81"/>
      <c r="F156" s="81"/>
      <c r="G156" s="82"/>
      <c r="H156" s="86"/>
    </row>
    <row r="157" spans="2:8" ht="21" x14ac:dyDescent="0.6">
      <c r="B157" s="81"/>
      <c r="C157" s="81"/>
      <c r="D157" s="81"/>
      <c r="E157" s="81"/>
      <c r="F157" s="81"/>
      <c r="G157" s="82"/>
      <c r="H157" s="86"/>
    </row>
    <row r="158" spans="2:8" ht="21" x14ac:dyDescent="0.6">
      <c r="B158" s="81"/>
      <c r="C158" s="81"/>
      <c r="D158" s="81"/>
      <c r="E158" s="81"/>
      <c r="F158" s="81"/>
      <c r="G158" s="82"/>
      <c r="H158" s="86"/>
    </row>
    <row r="159" spans="2:8" ht="21" x14ac:dyDescent="0.6">
      <c r="B159" s="81"/>
      <c r="C159" s="81"/>
      <c r="D159" s="81"/>
      <c r="E159" s="81"/>
      <c r="F159" s="81"/>
      <c r="G159" s="82"/>
      <c r="H159" s="86"/>
    </row>
    <row r="160" spans="2:8" ht="21" x14ac:dyDescent="0.6">
      <c r="B160" s="81"/>
      <c r="C160" s="81"/>
      <c r="D160" s="81"/>
      <c r="E160" s="81"/>
      <c r="F160" s="81"/>
      <c r="G160" s="82"/>
      <c r="H160" s="86"/>
    </row>
    <row r="161" spans="2:8" ht="21" x14ac:dyDescent="0.6">
      <c r="B161" s="81"/>
      <c r="C161" s="81"/>
      <c r="D161" s="81"/>
      <c r="E161" s="81"/>
      <c r="F161" s="81"/>
      <c r="G161" s="82"/>
      <c r="H161" s="86"/>
    </row>
    <row r="162" spans="2:8" ht="21" x14ac:dyDescent="0.6">
      <c r="B162" s="81"/>
      <c r="C162" s="81"/>
      <c r="D162" s="81"/>
      <c r="E162" s="81"/>
      <c r="F162" s="81"/>
      <c r="G162" s="82"/>
      <c r="H162" s="86"/>
    </row>
    <row r="163" spans="2:8" ht="21" x14ac:dyDescent="0.6">
      <c r="B163" s="81"/>
      <c r="C163" s="81"/>
      <c r="D163" s="81"/>
      <c r="E163" s="81"/>
      <c r="F163" s="81"/>
      <c r="G163" s="82"/>
      <c r="H163" s="86"/>
    </row>
    <row r="164" spans="2:8" ht="21" x14ac:dyDescent="0.6">
      <c r="B164" s="81"/>
      <c r="C164" s="81"/>
      <c r="D164" s="81"/>
      <c r="E164" s="81"/>
      <c r="F164" s="81"/>
      <c r="G164" s="82"/>
      <c r="H164" s="86"/>
    </row>
    <row r="165" spans="2:8" ht="21" x14ac:dyDescent="0.6">
      <c r="B165" s="81"/>
      <c r="C165" s="81"/>
      <c r="D165" s="81"/>
      <c r="E165" s="81"/>
      <c r="F165" s="81"/>
      <c r="G165" s="82"/>
      <c r="H165" s="86"/>
    </row>
    <row r="166" spans="2:8" ht="21" x14ac:dyDescent="0.6">
      <c r="B166" s="81"/>
      <c r="C166" s="81"/>
      <c r="D166" s="81"/>
      <c r="E166" s="81"/>
      <c r="F166" s="81"/>
      <c r="G166" s="82"/>
      <c r="H166" s="86"/>
    </row>
    <row r="167" spans="2:8" ht="21" x14ac:dyDescent="0.6">
      <c r="B167" s="81"/>
      <c r="C167" s="81"/>
      <c r="D167" s="81"/>
      <c r="E167" s="81"/>
      <c r="F167" s="81"/>
      <c r="G167" s="82"/>
      <c r="H167" s="86"/>
    </row>
    <row r="168" spans="2:8" ht="21" x14ac:dyDescent="0.6">
      <c r="B168" s="81"/>
      <c r="C168" s="81"/>
      <c r="D168" s="81"/>
      <c r="E168" s="81"/>
      <c r="F168" s="81"/>
      <c r="G168" s="82"/>
      <c r="H168" s="86"/>
    </row>
    <row r="169" spans="2:8" ht="21" x14ac:dyDescent="0.6">
      <c r="B169" s="81"/>
      <c r="C169" s="81"/>
      <c r="D169" s="81"/>
      <c r="E169" s="81"/>
      <c r="F169" s="81"/>
      <c r="G169" s="82"/>
      <c r="H169" s="86"/>
    </row>
    <row r="170" spans="2:8" ht="21" x14ac:dyDescent="0.6">
      <c r="B170" s="81"/>
      <c r="C170" s="81"/>
      <c r="D170" s="81"/>
      <c r="E170" s="81"/>
      <c r="F170" s="81"/>
      <c r="G170" s="82"/>
      <c r="H170" s="86"/>
    </row>
    <row r="171" spans="2:8" ht="21" x14ac:dyDescent="0.6">
      <c r="B171" s="81"/>
      <c r="C171" s="81"/>
      <c r="D171" s="81"/>
      <c r="E171" s="81"/>
      <c r="F171" s="81"/>
      <c r="G171" s="82"/>
      <c r="H171" s="86"/>
    </row>
    <row r="172" spans="2:8" ht="21" x14ac:dyDescent="0.6">
      <c r="B172" s="81"/>
      <c r="C172" s="81"/>
      <c r="D172" s="81"/>
      <c r="E172" s="81"/>
      <c r="F172" s="81"/>
      <c r="G172" s="82"/>
      <c r="H172" s="86"/>
    </row>
    <row r="173" spans="2:8" ht="21" x14ac:dyDescent="0.6">
      <c r="B173" s="81"/>
      <c r="C173" s="81"/>
      <c r="D173" s="81"/>
      <c r="E173" s="81"/>
      <c r="F173" s="81"/>
      <c r="G173" s="82"/>
      <c r="H173" s="86"/>
    </row>
    <row r="174" spans="2:8" ht="21" x14ac:dyDescent="0.6">
      <c r="B174" s="81"/>
      <c r="C174" s="81"/>
      <c r="D174" s="81"/>
      <c r="E174" s="81"/>
      <c r="F174" s="81"/>
      <c r="G174" s="82"/>
      <c r="H174" s="86"/>
    </row>
    <row r="175" spans="2:8" ht="21" x14ac:dyDescent="0.6">
      <c r="B175" s="81"/>
      <c r="C175" s="81"/>
      <c r="D175" s="81"/>
      <c r="E175" s="81"/>
      <c r="F175" s="81"/>
      <c r="G175" s="82"/>
      <c r="H175" s="86"/>
    </row>
    <row r="176" spans="2:8" ht="21" x14ac:dyDescent="0.6">
      <c r="B176" s="81"/>
      <c r="C176" s="81"/>
      <c r="D176" s="81"/>
      <c r="E176" s="81"/>
      <c r="F176" s="81"/>
      <c r="G176" s="82"/>
      <c r="H176" s="86"/>
    </row>
    <row r="177" spans="2:8" ht="21" x14ac:dyDescent="0.6">
      <c r="B177" s="81"/>
      <c r="C177" s="81"/>
      <c r="D177" s="81"/>
      <c r="E177" s="81"/>
      <c r="F177" s="81"/>
      <c r="G177" s="82"/>
      <c r="H177" s="86"/>
    </row>
    <row r="178" spans="2:8" ht="21" x14ac:dyDescent="0.6">
      <c r="B178" s="81"/>
      <c r="C178" s="81"/>
      <c r="D178" s="81"/>
      <c r="E178" s="81"/>
      <c r="F178" s="81"/>
      <c r="G178" s="82"/>
      <c r="H178" s="86"/>
    </row>
    <row r="179" spans="2:8" ht="21" x14ac:dyDescent="0.6">
      <c r="B179" s="81"/>
      <c r="C179" s="81"/>
      <c r="D179" s="81"/>
      <c r="E179" s="81"/>
      <c r="F179" s="81"/>
      <c r="G179" s="82"/>
      <c r="H179" s="86"/>
    </row>
    <row r="180" spans="2:8" ht="21" x14ac:dyDescent="0.6">
      <c r="B180" s="81"/>
      <c r="C180" s="81"/>
      <c r="D180" s="81"/>
      <c r="E180" s="81"/>
      <c r="F180" s="81"/>
      <c r="G180" s="82"/>
      <c r="H180" s="86"/>
    </row>
    <row r="181" spans="2:8" ht="21" x14ac:dyDescent="0.6">
      <c r="B181" s="81"/>
      <c r="C181" s="81"/>
      <c r="D181" s="81"/>
      <c r="E181" s="81"/>
      <c r="F181" s="81"/>
      <c r="G181" s="82"/>
      <c r="H181" s="86"/>
    </row>
    <row r="182" spans="2:8" ht="21" x14ac:dyDescent="0.6">
      <c r="B182" s="81"/>
      <c r="C182" s="81"/>
      <c r="D182" s="81"/>
      <c r="E182" s="81"/>
      <c r="F182" s="81"/>
      <c r="G182" s="82"/>
      <c r="H182" s="86"/>
    </row>
    <row r="183" spans="2:8" ht="21" x14ac:dyDescent="0.6">
      <c r="B183" s="81"/>
      <c r="C183" s="81"/>
      <c r="D183" s="81"/>
      <c r="E183" s="81"/>
      <c r="F183" s="81"/>
      <c r="G183" s="82"/>
      <c r="H183" s="86"/>
    </row>
    <row r="184" spans="2:8" ht="21" x14ac:dyDescent="0.6">
      <c r="B184" s="81"/>
      <c r="C184" s="81"/>
      <c r="D184" s="81"/>
      <c r="E184" s="81"/>
      <c r="F184" s="81"/>
      <c r="G184" s="82"/>
      <c r="H184" s="86"/>
    </row>
    <row r="185" spans="2:8" ht="21" x14ac:dyDescent="0.6">
      <c r="B185" s="81"/>
      <c r="C185" s="81"/>
      <c r="D185" s="81"/>
      <c r="E185" s="81"/>
      <c r="F185" s="81"/>
      <c r="G185" s="82"/>
      <c r="H185" s="86"/>
    </row>
    <row r="186" spans="2:8" ht="21" x14ac:dyDescent="0.6">
      <c r="B186" s="81"/>
      <c r="C186" s="81"/>
      <c r="D186" s="81"/>
      <c r="E186" s="81"/>
      <c r="F186" s="81"/>
      <c r="G186" s="82"/>
      <c r="H186" s="86"/>
    </row>
    <row r="187" spans="2:8" ht="21" x14ac:dyDescent="0.6">
      <c r="B187" s="81"/>
      <c r="C187" s="81"/>
      <c r="D187" s="81"/>
      <c r="E187" s="81"/>
      <c r="F187" s="81"/>
      <c r="G187" s="82"/>
      <c r="H187" s="86"/>
    </row>
    <row r="188" spans="2:8" ht="21" x14ac:dyDescent="0.6">
      <c r="B188" s="81"/>
      <c r="C188" s="81"/>
      <c r="D188" s="81"/>
      <c r="E188" s="81"/>
      <c r="F188" s="81"/>
      <c r="G188" s="82"/>
      <c r="H188" s="86"/>
    </row>
    <row r="189" spans="2:8" ht="21" x14ac:dyDescent="0.6">
      <c r="B189" s="81"/>
      <c r="C189" s="81"/>
      <c r="D189" s="81"/>
      <c r="E189" s="81"/>
      <c r="F189" s="81"/>
      <c r="G189" s="82"/>
      <c r="H189" s="86"/>
    </row>
    <row r="190" spans="2:8" ht="21" x14ac:dyDescent="0.6">
      <c r="B190" s="81"/>
      <c r="C190" s="81"/>
      <c r="D190" s="81"/>
      <c r="E190" s="81"/>
      <c r="F190" s="81"/>
      <c r="G190" s="82"/>
      <c r="H190" s="86"/>
    </row>
    <row r="191" spans="2:8" ht="21" x14ac:dyDescent="0.6">
      <c r="B191" s="81"/>
      <c r="C191" s="81"/>
      <c r="D191" s="81"/>
      <c r="E191" s="81"/>
      <c r="F191" s="81"/>
      <c r="G191" s="82"/>
      <c r="H191" s="86"/>
    </row>
    <row r="192" spans="2:8" ht="21" x14ac:dyDescent="0.6">
      <c r="B192" s="81"/>
      <c r="C192" s="81"/>
      <c r="D192" s="81"/>
      <c r="E192" s="81"/>
      <c r="F192" s="81"/>
      <c r="G192" s="82"/>
      <c r="H192" s="86"/>
    </row>
    <row r="193" spans="2:8" ht="21" x14ac:dyDescent="0.6">
      <c r="B193" s="81"/>
      <c r="C193" s="81"/>
      <c r="D193" s="81"/>
      <c r="E193" s="81"/>
      <c r="F193" s="81"/>
      <c r="G193" s="82"/>
      <c r="H193" s="86"/>
    </row>
    <row r="194" spans="2:8" ht="21" x14ac:dyDescent="0.6">
      <c r="B194" s="81"/>
      <c r="C194" s="81"/>
      <c r="D194" s="81"/>
      <c r="E194" s="81"/>
      <c r="F194" s="81"/>
      <c r="G194" s="82"/>
      <c r="H194" s="86"/>
    </row>
    <row r="195" spans="2:8" ht="21" x14ac:dyDescent="0.6">
      <c r="B195" s="81"/>
      <c r="C195" s="81"/>
      <c r="D195" s="81"/>
      <c r="E195" s="81"/>
      <c r="F195" s="81"/>
      <c r="G195" s="82"/>
      <c r="H195" s="86"/>
    </row>
    <row r="196" spans="2:8" ht="21" x14ac:dyDescent="0.6">
      <c r="B196" s="81"/>
      <c r="C196" s="81"/>
      <c r="D196" s="81"/>
      <c r="E196" s="81"/>
      <c r="F196" s="81"/>
      <c r="G196" s="82"/>
      <c r="H196" s="86"/>
    </row>
    <row r="197" spans="2:8" ht="21" x14ac:dyDescent="0.6">
      <c r="B197" s="81"/>
      <c r="C197" s="81"/>
      <c r="D197" s="81"/>
      <c r="E197" s="81"/>
      <c r="F197" s="81"/>
      <c r="G197" s="82"/>
      <c r="H197" s="86"/>
    </row>
    <row r="198" spans="2:8" ht="21" x14ac:dyDescent="0.6">
      <c r="B198" s="81"/>
      <c r="C198" s="81"/>
      <c r="D198" s="81"/>
      <c r="E198" s="81"/>
      <c r="F198" s="81"/>
      <c r="G198" s="82"/>
      <c r="H198" s="86"/>
    </row>
    <row r="199" spans="2:8" ht="21" x14ac:dyDescent="0.6">
      <c r="B199" s="81"/>
      <c r="C199" s="81"/>
      <c r="D199" s="81"/>
      <c r="E199" s="81"/>
      <c r="F199" s="81"/>
      <c r="G199" s="82"/>
      <c r="H199" s="86"/>
    </row>
    <row r="200" spans="2:8" ht="21" x14ac:dyDescent="0.6">
      <c r="B200" s="81"/>
      <c r="C200" s="81"/>
      <c r="D200" s="81"/>
      <c r="E200" s="81"/>
      <c r="F200" s="81"/>
      <c r="G200" s="82"/>
      <c r="H200" s="86"/>
    </row>
    <row r="201" spans="2:8" ht="21" x14ac:dyDescent="0.6">
      <c r="B201" s="81"/>
      <c r="C201" s="81"/>
      <c r="D201" s="81"/>
      <c r="E201" s="81"/>
      <c r="F201" s="81"/>
      <c r="G201" s="82"/>
      <c r="H201" s="86"/>
    </row>
    <row r="202" spans="2:8" ht="21" x14ac:dyDescent="0.6">
      <c r="B202" s="81"/>
      <c r="C202" s="81"/>
      <c r="D202" s="81"/>
      <c r="E202" s="81"/>
      <c r="F202" s="81"/>
      <c r="G202" s="82"/>
      <c r="H202" s="86"/>
    </row>
    <row r="203" spans="2:8" ht="21" x14ac:dyDescent="0.6">
      <c r="B203" s="81"/>
      <c r="C203" s="81"/>
      <c r="D203" s="81"/>
      <c r="E203" s="81"/>
      <c r="F203" s="81"/>
      <c r="G203" s="82"/>
      <c r="H203" s="86"/>
    </row>
    <row r="204" spans="2:8" ht="21" x14ac:dyDescent="0.6">
      <c r="B204" s="81"/>
      <c r="C204" s="81"/>
      <c r="D204" s="81"/>
      <c r="E204" s="81"/>
      <c r="F204" s="81"/>
      <c r="G204" s="82"/>
      <c r="H204" s="86"/>
    </row>
    <row r="205" spans="2:8" ht="21" x14ac:dyDescent="0.6">
      <c r="B205" s="81"/>
      <c r="C205" s="81"/>
      <c r="D205" s="81"/>
      <c r="E205" s="81"/>
      <c r="F205" s="81"/>
      <c r="G205" s="82"/>
      <c r="H205" s="86"/>
    </row>
    <row r="206" spans="2:8" ht="21" x14ac:dyDescent="0.6">
      <c r="B206" s="81"/>
      <c r="C206" s="81"/>
      <c r="D206" s="81"/>
      <c r="E206" s="81"/>
      <c r="F206" s="81"/>
      <c r="G206" s="82"/>
      <c r="H206" s="86"/>
    </row>
    <row r="207" spans="2:8" ht="21" x14ac:dyDescent="0.6">
      <c r="B207" s="81"/>
      <c r="C207" s="81"/>
      <c r="D207" s="81"/>
      <c r="E207" s="81"/>
      <c r="F207" s="81"/>
      <c r="G207" s="82"/>
      <c r="H207" s="86"/>
    </row>
    <row r="208" spans="2:8" ht="21" x14ac:dyDescent="0.6">
      <c r="B208" s="81"/>
      <c r="C208" s="81"/>
      <c r="D208" s="81"/>
      <c r="E208" s="81"/>
      <c r="F208" s="81"/>
      <c r="G208" s="82"/>
      <c r="H208" s="86"/>
    </row>
    <row r="209" spans="2:8" ht="21" x14ac:dyDescent="0.6">
      <c r="B209" s="81"/>
      <c r="C209" s="81"/>
      <c r="D209" s="81"/>
      <c r="E209" s="81"/>
      <c r="F209" s="81"/>
      <c r="G209" s="82"/>
      <c r="H209" s="86"/>
    </row>
    <row r="210" spans="2:8" ht="21" x14ac:dyDescent="0.6">
      <c r="B210" s="81"/>
      <c r="C210" s="81"/>
      <c r="D210" s="81"/>
      <c r="E210" s="81"/>
      <c r="F210" s="81"/>
      <c r="G210" s="82"/>
      <c r="H210" s="86"/>
    </row>
    <row r="211" spans="2:8" ht="21" x14ac:dyDescent="0.6">
      <c r="B211" s="81"/>
      <c r="C211" s="81"/>
      <c r="D211" s="81"/>
      <c r="E211" s="81"/>
      <c r="F211" s="81"/>
      <c r="G211" s="82"/>
      <c r="H211" s="86"/>
    </row>
    <row r="212" spans="2:8" ht="21" x14ac:dyDescent="0.6">
      <c r="B212" s="81"/>
      <c r="C212" s="81"/>
      <c r="D212" s="81"/>
      <c r="E212" s="81"/>
      <c r="F212" s="81"/>
      <c r="G212" s="82"/>
      <c r="H212" s="86"/>
    </row>
    <row r="213" spans="2:8" ht="21" x14ac:dyDescent="0.6">
      <c r="B213" s="81"/>
      <c r="C213" s="81"/>
      <c r="D213" s="81"/>
      <c r="E213" s="81"/>
      <c r="F213" s="81"/>
      <c r="G213" s="82"/>
      <c r="H213" s="86"/>
    </row>
    <row r="214" spans="2:8" ht="21" x14ac:dyDescent="0.6">
      <c r="B214" s="81"/>
      <c r="C214" s="81"/>
      <c r="D214" s="81"/>
      <c r="E214" s="81"/>
      <c r="F214" s="81"/>
      <c r="G214" s="82"/>
      <c r="H214" s="86"/>
    </row>
    <row r="215" spans="2:8" ht="21" x14ac:dyDescent="0.6">
      <c r="B215" s="81"/>
      <c r="C215" s="81"/>
      <c r="D215" s="81"/>
      <c r="E215" s="81"/>
      <c r="F215" s="81"/>
      <c r="G215" s="82"/>
      <c r="H215" s="86"/>
    </row>
    <row r="216" spans="2:8" ht="21" x14ac:dyDescent="0.6">
      <c r="B216" s="81"/>
      <c r="C216" s="81"/>
      <c r="D216" s="81"/>
      <c r="E216" s="81"/>
      <c r="F216" s="81"/>
      <c r="G216" s="82"/>
      <c r="H216" s="86"/>
    </row>
    <row r="217" spans="2:8" ht="21" x14ac:dyDescent="0.6">
      <c r="B217" s="81"/>
      <c r="C217" s="81"/>
      <c r="D217" s="81"/>
      <c r="E217" s="81"/>
      <c r="F217" s="81"/>
      <c r="G217" s="82"/>
      <c r="H217" s="86"/>
    </row>
    <row r="218" spans="2:8" ht="21" x14ac:dyDescent="0.6">
      <c r="B218" s="81"/>
      <c r="C218" s="81"/>
      <c r="D218" s="81"/>
      <c r="E218" s="81"/>
      <c r="F218" s="81"/>
      <c r="G218" s="82"/>
      <c r="H218" s="86"/>
    </row>
    <row r="219" spans="2:8" ht="21" x14ac:dyDescent="0.6">
      <c r="B219" s="81"/>
      <c r="C219" s="81"/>
      <c r="D219" s="81"/>
      <c r="E219" s="81"/>
      <c r="F219" s="81"/>
      <c r="G219" s="82"/>
      <c r="H219" s="86"/>
    </row>
    <row r="220" spans="2:8" ht="21" x14ac:dyDescent="0.6">
      <c r="B220" s="81"/>
      <c r="C220" s="81"/>
      <c r="D220" s="81"/>
      <c r="E220" s="81"/>
      <c r="F220" s="81"/>
      <c r="G220" s="82"/>
      <c r="H220" s="86"/>
    </row>
    <row r="221" spans="2:8" ht="21" x14ac:dyDescent="0.6">
      <c r="B221" s="81"/>
      <c r="C221" s="81"/>
      <c r="D221" s="81"/>
      <c r="E221" s="81"/>
      <c r="F221" s="81"/>
      <c r="G221" s="82"/>
      <c r="H221" s="86"/>
    </row>
    <row r="222" spans="2:8" ht="21" x14ac:dyDescent="0.6">
      <c r="B222" s="81"/>
      <c r="C222" s="81"/>
      <c r="D222" s="81"/>
      <c r="E222" s="81"/>
      <c r="F222" s="81"/>
      <c r="G222" s="82"/>
      <c r="H222" s="86"/>
    </row>
    <row r="223" spans="2:8" ht="21" x14ac:dyDescent="0.6">
      <c r="B223" s="81"/>
      <c r="C223" s="81"/>
      <c r="D223" s="81"/>
      <c r="E223" s="81"/>
      <c r="F223" s="81"/>
      <c r="G223" s="82"/>
      <c r="H223" s="86"/>
    </row>
    <row r="224" spans="2:8" ht="21" x14ac:dyDescent="0.6">
      <c r="B224" s="81"/>
      <c r="C224" s="81"/>
      <c r="D224" s="81"/>
      <c r="E224" s="81"/>
      <c r="F224" s="81"/>
      <c r="G224" s="82"/>
      <c r="H224" s="86"/>
    </row>
    <row r="225" spans="2:8" ht="21" x14ac:dyDescent="0.6">
      <c r="B225" s="81"/>
      <c r="C225" s="81"/>
      <c r="D225" s="81"/>
      <c r="E225" s="81"/>
      <c r="F225" s="81"/>
      <c r="G225" s="82"/>
      <c r="H225" s="86"/>
    </row>
    <row r="226" spans="2:8" ht="21" x14ac:dyDescent="0.6">
      <c r="B226" s="81"/>
      <c r="C226" s="81"/>
      <c r="D226" s="81"/>
      <c r="E226" s="81"/>
      <c r="F226" s="81"/>
      <c r="G226" s="82"/>
      <c r="H226" s="86"/>
    </row>
    <row r="227" spans="2:8" ht="21" x14ac:dyDescent="0.6">
      <c r="B227" s="81"/>
      <c r="C227" s="81"/>
      <c r="D227" s="81"/>
      <c r="E227" s="81"/>
      <c r="F227" s="81"/>
      <c r="G227" s="82"/>
      <c r="H227" s="86"/>
    </row>
    <row r="228" spans="2:8" ht="21" x14ac:dyDescent="0.6">
      <c r="B228" s="81"/>
      <c r="C228" s="81"/>
      <c r="D228" s="81"/>
      <c r="E228" s="81"/>
      <c r="F228" s="81"/>
      <c r="G228" s="82"/>
      <c r="H228" s="86"/>
    </row>
    <row r="229" spans="2:8" ht="21" x14ac:dyDescent="0.6">
      <c r="B229" s="81"/>
      <c r="C229" s="81"/>
      <c r="D229" s="81"/>
      <c r="E229" s="81"/>
      <c r="F229" s="81"/>
      <c r="G229" s="82"/>
      <c r="H229" s="86"/>
    </row>
    <row r="230" spans="2:8" ht="21" x14ac:dyDescent="0.6">
      <c r="B230" s="81"/>
      <c r="C230" s="81"/>
      <c r="D230" s="81"/>
      <c r="E230" s="81"/>
      <c r="F230" s="81"/>
      <c r="G230" s="82"/>
      <c r="H230" s="86"/>
    </row>
    <row r="231" spans="2:8" ht="21" x14ac:dyDescent="0.6">
      <c r="B231" s="81"/>
      <c r="C231" s="81"/>
      <c r="D231" s="81"/>
      <c r="E231" s="81"/>
      <c r="F231" s="81"/>
      <c r="G231" s="82"/>
      <c r="H231" s="86"/>
    </row>
    <row r="232" spans="2:8" ht="21" x14ac:dyDescent="0.6">
      <c r="B232" s="81"/>
      <c r="C232" s="81"/>
      <c r="D232" s="81"/>
      <c r="E232" s="81"/>
      <c r="F232" s="81"/>
      <c r="G232" s="82"/>
      <c r="H232" s="86"/>
    </row>
    <row r="233" spans="2:8" ht="21" x14ac:dyDescent="0.6">
      <c r="B233" s="81"/>
      <c r="C233" s="81"/>
      <c r="D233" s="81"/>
      <c r="E233" s="81"/>
      <c r="F233" s="81"/>
      <c r="G233" s="82"/>
      <c r="H233" s="86"/>
    </row>
    <row r="234" spans="2:8" ht="21" x14ac:dyDescent="0.6">
      <c r="B234" s="81"/>
      <c r="C234" s="81"/>
      <c r="D234" s="81"/>
      <c r="E234" s="81"/>
      <c r="F234" s="81"/>
      <c r="G234" s="82"/>
      <c r="H234" s="86"/>
    </row>
    <row r="235" spans="2:8" ht="21" x14ac:dyDescent="0.6">
      <c r="B235" s="81"/>
      <c r="C235" s="81"/>
      <c r="D235" s="81"/>
      <c r="E235" s="81"/>
      <c r="F235" s="81"/>
      <c r="G235" s="82"/>
      <c r="H235" s="86"/>
    </row>
    <row r="236" spans="2:8" ht="21" x14ac:dyDescent="0.6">
      <c r="B236" s="81"/>
      <c r="C236" s="81"/>
      <c r="D236" s="81"/>
      <c r="E236" s="81"/>
      <c r="F236" s="81"/>
      <c r="G236" s="82"/>
      <c r="H236" s="86"/>
    </row>
    <row r="237" spans="2:8" ht="21" x14ac:dyDescent="0.6">
      <c r="B237" s="81"/>
      <c r="C237" s="81"/>
      <c r="D237" s="81"/>
      <c r="E237" s="81"/>
      <c r="F237" s="81"/>
      <c r="G237" s="82"/>
      <c r="H237" s="86"/>
    </row>
    <row r="238" spans="2:8" ht="21" x14ac:dyDescent="0.6">
      <c r="B238" s="81"/>
      <c r="C238" s="81"/>
      <c r="D238" s="81"/>
      <c r="E238" s="81"/>
      <c r="F238" s="81"/>
      <c r="G238" s="82"/>
      <c r="H238" s="86"/>
    </row>
    <row r="239" spans="2:8" ht="21" x14ac:dyDescent="0.6">
      <c r="B239" s="81"/>
      <c r="C239" s="81"/>
      <c r="D239" s="81"/>
      <c r="E239" s="81"/>
      <c r="F239" s="81"/>
      <c r="G239" s="82"/>
      <c r="H239" s="86"/>
    </row>
    <row r="240" spans="2:8" ht="21" x14ac:dyDescent="0.6">
      <c r="B240" s="81"/>
      <c r="C240" s="81"/>
      <c r="D240" s="81"/>
      <c r="E240" s="81"/>
      <c r="F240" s="81"/>
      <c r="G240" s="82"/>
      <c r="H240" s="86"/>
    </row>
    <row r="241" spans="2:8" ht="21" x14ac:dyDescent="0.6">
      <c r="B241" s="81"/>
      <c r="C241" s="81"/>
      <c r="D241" s="81"/>
      <c r="E241" s="81"/>
      <c r="F241" s="81"/>
      <c r="G241" s="82"/>
      <c r="H241" s="86"/>
    </row>
    <row r="242" spans="2:8" ht="21" x14ac:dyDescent="0.6">
      <c r="B242" s="81"/>
      <c r="C242" s="81"/>
      <c r="D242" s="81"/>
      <c r="E242" s="81"/>
      <c r="F242" s="81"/>
      <c r="G242" s="82"/>
      <c r="H242" s="86"/>
    </row>
    <row r="243" spans="2:8" ht="21" x14ac:dyDescent="0.6">
      <c r="B243" s="81"/>
      <c r="C243" s="81"/>
      <c r="D243" s="81"/>
      <c r="E243" s="81"/>
      <c r="F243" s="81"/>
      <c r="G243" s="82"/>
      <c r="H243" s="86"/>
    </row>
    <row r="244" spans="2:8" ht="21" x14ac:dyDescent="0.6">
      <c r="B244" s="81"/>
      <c r="C244" s="81"/>
      <c r="D244" s="81"/>
      <c r="E244" s="81"/>
      <c r="F244" s="81"/>
      <c r="G244" s="82"/>
      <c r="H244" s="86"/>
    </row>
    <row r="245" spans="2:8" ht="21" x14ac:dyDescent="0.6">
      <c r="B245" s="81"/>
      <c r="C245" s="81"/>
      <c r="D245" s="81"/>
      <c r="E245" s="81"/>
      <c r="F245" s="81"/>
      <c r="G245" s="82"/>
      <c r="H245" s="86"/>
    </row>
    <row r="246" spans="2:8" ht="21" x14ac:dyDescent="0.6">
      <c r="B246" s="81"/>
      <c r="C246" s="81"/>
      <c r="D246" s="81"/>
      <c r="E246" s="81"/>
      <c r="F246" s="81"/>
      <c r="G246" s="82"/>
      <c r="H246" s="86"/>
    </row>
    <row r="247" spans="2:8" ht="21" x14ac:dyDescent="0.6">
      <c r="B247" s="81"/>
      <c r="C247" s="81"/>
      <c r="D247" s="81"/>
      <c r="E247" s="81"/>
      <c r="F247" s="81"/>
      <c r="G247" s="82"/>
      <c r="H247" s="86"/>
    </row>
    <row r="248" spans="2:8" ht="21" x14ac:dyDescent="0.6">
      <c r="B248" s="81"/>
      <c r="C248" s="81"/>
      <c r="D248" s="81"/>
      <c r="E248" s="81"/>
      <c r="F248" s="81"/>
      <c r="G248" s="82"/>
      <c r="H248" s="86"/>
    </row>
    <row r="249" spans="2:8" ht="21" x14ac:dyDescent="0.6">
      <c r="B249" s="81"/>
      <c r="C249" s="81"/>
      <c r="D249" s="81"/>
      <c r="E249" s="81"/>
      <c r="F249" s="81"/>
      <c r="G249" s="82"/>
      <c r="H249" s="86"/>
    </row>
    <row r="250" spans="2:8" ht="21" x14ac:dyDescent="0.6">
      <c r="B250" s="81"/>
      <c r="C250" s="81"/>
      <c r="D250" s="81"/>
      <c r="E250" s="81"/>
      <c r="F250" s="81"/>
      <c r="G250" s="82"/>
      <c r="H250" s="86"/>
    </row>
    <row r="251" spans="2:8" ht="21" x14ac:dyDescent="0.6">
      <c r="B251" s="81"/>
      <c r="C251" s="81"/>
      <c r="D251" s="81"/>
      <c r="E251" s="81"/>
      <c r="F251" s="81"/>
      <c r="G251" s="82"/>
      <c r="H251" s="86"/>
    </row>
    <row r="252" spans="2:8" ht="21" x14ac:dyDescent="0.6">
      <c r="B252" s="81"/>
      <c r="C252" s="81"/>
      <c r="D252" s="81"/>
      <c r="E252" s="81"/>
      <c r="F252" s="81"/>
      <c r="G252" s="82"/>
      <c r="H252" s="86"/>
    </row>
    <row r="253" spans="2:8" ht="21" x14ac:dyDescent="0.6">
      <c r="B253" s="81"/>
      <c r="C253" s="81"/>
      <c r="D253" s="81"/>
      <c r="E253" s="81"/>
      <c r="F253" s="81"/>
      <c r="G253" s="82"/>
      <c r="H253" s="86"/>
    </row>
    <row r="254" spans="2:8" ht="21" x14ac:dyDescent="0.6">
      <c r="B254" s="81"/>
      <c r="C254" s="81"/>
      <c r="D254" s="81"/>
      <c r="E254" s="81"/>
      <c r="F254" s="81"/>
      <c r="G254" s="82"/>
      <c r="H254" s="86"/>
    </row>
    <row r="255" spans="2:8" ht="21" x14ac:dyDescent="0.6">
      <c r="B255" s="81"/>
      <c r="C255" s="81"/>
      <c r="D255" s="81"/>
      <c r="E255" s="81"/>
      <c r="F255" s="81"/>
      <c r="G255" s="82"/>
      <c r="H255" s="86"/>
    </row>
    <row r="256" spans="2:8" ht="21" x14ac:dyDescent="0.6">
      <c r="B256" s="81"/>
      <c r="C256" s="81"/>
      <c r="D256" s="81"/>
      <c r="E256" s="81"/>
      <c r="F256" s="81"/>
      <c r="G256" s="82"/>
      <c r="H256" s="86"/>
    </row>
    <row r="257" spans="2:8" ht="21" x14ac:dyDescent="0.6">
      <c r="B257" s="81"/>
      <c r="C257" s="81"/>
      <c r="D257" s="81"/>
      <c r="E257" s="81"/>
      <c r="F257" s="81"/>
      <c r="G257" s="82"/>
      <c r="H257" s="86"/>
    </row>
    <row r="258" spans="2:8" ht="21" x14ac:dyDescent="0.6">
      <c r="B258" s="81"/>
      <c r="C258" s="81"/>
      <c r="D258" s="81"/>
      <c r="E258" s="81"/>
      <c r="F258" s="81"/>
      <c r="G258" s="82"/>
      <c r="H258" s="86"/>
    </row>
    <row r="259" spans="2:8" ht="21" x14ac:dyDescent="0.6">
      <c r="B259" s="81"/>
      <c r="C259" s="81"/>
      <c r="D259" s="81"/>
      <c r="E259" s="81"/>
      <c r="F259" s="81"/>
      <c r="G259" s="82"/>
      <c r="H259" s="86"/>
    </row>
    <row r="260" spans="2:8" ht="21" x14ac:dyDescent="0.6">
      <c r="B260" s="81"/>
      <c r="C260" s="81"/>
      <c r="D260" s="81"/>
      <c r="E260" s="81"/>
      <c r="F260" s="81"/>
      <c r="G260" s="82"/>
      <c r="H260" s="86"/>
    </row>
    <row r="261" spans="2:8" ht="21" x14ac:dyDescent="0.6">
      <c r="B261" s="81"/>
      <c r="C261" s="81"/>
      <c r="D261" s="81"/>
      <c r="E261" s="81"/>
      <c r="F261" s="81"/>
      <c r="G261" s="82"/>
      <c r="H261" s="86"/>
    </row>
    <row r="262" spans="2:8" ht="21" x14ac:dyDescent="0.6">
      <c r="B262" s="81"/>
      <c r="C262" s="81"/>
      <c r="D262" s="81"/>
      <c r="E262" s="81"/>
      <c r="F262" s="81"/>
      <c r="G262" s="82"/>
      <c r="H262" s="86"/>
    </row>
    <row r="263" spans="2:8" ht="21" x14ac:dyDescent="0.6">
      <c r="B263" s="81"/>
      <c r="C263" s="81"/>
      <c r="D263" s="81"/>
      <c r="E263" s="81"/>
      <c r="F263" s="81"/>
      <c r="G263" s="82"/>
      <c r="H263" s="86"/>
    </row>
    <row r="264" spans="2:8" ht="21" x14ac:dyDescent="0.6">
      <c r="B264" s="81"/>
      <c r="C264" s="81"/>
      <c r="D264" s="81"/>
      <c r="E264" s="81"/>
      <c r="F264" s="81"/>
      <c r="G264" s="82"/>
      <c r="H264" s="86"/>
    </row>
    <row r="265" spans="2:8" ht="21" x14ac:dyDescent="0.6">
      <c r="B265" s="81"/>
      <c r="C265" s="81"/>
      <c r="D265" s="81"/>
      <c r="E265" s="81"/>
      <c r="F265" s="81"/>
      <c r="G265" s="82"/>
      <c r="H265" s="86"/>
    </row>
    <row r="266" spans="2:8" ht="21" x14ac:dyDescent="0.6">
      <c r="B266" s="81"/>
      <c r="C266" s="81"/>
      <c r="D266" s="81"/>
      <c r="E266" s="81"/>
      <c r="F266" s="81"/>
      <c r="G266" s="82"/>
      <c r="H266" s="86"/>
    </row>
    <row r="267" spans="2:8" ht="21" x14ac:dyDescent="0.6">
      <c r="B267" s="81"/>
      <c r="C267" s="81"/>
      <c r="D267" s="81"/>
      <c r="E267" s="81"/>
      <c r="F267" s="81"/>
      <c r="G267" s="82"/>
      <c r="H267" s="86"/>
    </row>
    <row r="268" spans="2:8" ht="21" x14ac:dyDescent="0.6">
      <c r="B268" s="81"/>
      <c r="C268" s="81"/>
      <c r="D268" s="81"/>
      <c r="E268" s="81"/>
      <c r="F268" s="81"/>
      <c r="G268" s="82"/>
      <c r="H268" s="86"/>
    </row>
    <row r="269" spans="2:8" ht="21" x14ac:dyDescent="0.6">
      <c r="B269" s="81"/>
      <c r="C269" s="81"/>
      <c r="D269" s="81"/>
      <c r="E269" s="81"/>
      <c r="F269" s="81"/>
      <c r="G269" s="82"/>
      <c r="H269" s="86"/>
    </row>
    <row r="270" spans="2:8" ht="21" x14ac:dyDescent="0.6">
      <c r="B270" s="81"/>
      <c r="C270" s="81"/>
      <c r="D270" s="81"/>
      <c r="E270" s="81"/>
      <c r="F270" s="81"/>
      <c r="G270" s="82"/>
      <c r="H270" s="86"/>
    </row>
    <row r="271" spans="2:8" ht="21" x14ac:dyDescent="0.6">
      <c r="B271" s="81"/>
      <c r="C271" s="81"/>
      <c r="D271" s="81"/>
      <c r="E271" s="81"/>
      <c r="F271" s="81"/>
      <c r="G271" s="82"/>
      <c r="H271" s="86"/>
    </row>
    <row r="272" spans="2:8" ht="21" x14ac:dyDescent="0.6">
      <c r="B272" s="81"/>
      <c r="C272" s="81"/>
      <c r="D272" s="81"/>
      <c r="E272" s="81"/>
      <c r="F272" s="81"/>
      <c r="G272" s="82"/>
      <c r="H272" s="86"/>
    </row>
    <row r="273" spans="2:8" ht="21" x14ac:dyDescent="0.6">
      <c r="B273" s="81"/>
      <c r="C273" s="81"/>
      <c r="D273" s="81"/>
      <c r="E273" s="81"/>
      <c r="F273" s="81"/>
      <c r="G273" s="82"/>
      <c r="H273" s="86"/>
    </row>
    <row r="274" spans="2:8" ht="21" x14ac:dyDescent="0.6">
      <c r="B274" s="81"/>
      <c r="C274" s="81"/>
      <c r="D274" s="81"/>
      <c r="E274" s="81"/>
      <c r="F274" s="81"/>
      <c r="G274" s="82"/>
      <c r="H274" s="86"/>
    </row>
    <row r="275" spans="2:8" ht="21" x14ac:dyDescent="0.6">
      <c r="B275" s="81"/>
      <c r="C275" s="81"/>
      <c r="D275" s="81"/>
      <c r="E275" s="81"/>
      <c r="F275" s="81"/>
      <c r="G275" s="82"/>
      <c r="H275" s="86"/>
    </row>
    <row r="276" spans="2:8" ht="21" x14ac:dyDescent="0.6">
      <c r="B276" s="81"/>
      <c r="C276" s="81"/>
      <c r="D276" s="81"/>
      <c r="E276" s="81"/>
      <c r="F276" s="81"/>
      <c r="G276" s="82"/>
      <c r="H276" s="86"/>
    </row>
    <row r="277" spans="2:8" ht="21" x14ac:dyDescent="0.6">
      <c r="B277" s="81"/>
      <c r="C277" s="81"/>
      <c r="D277" s="81"/>
      <c r="E277" s="81"/>
      <c r="F277" s="81"/>
      <c r="G277" s="82"/>
      <c r="H277" s="86"/>
    </row>
    <row r="278" spans="2:8" ht="21" x14ac:dyDescent="0.6">
      <c r="B278" s="81"/>
      <c r="C278" s="81"/>
      <c r="D278" s="81"/>
      <c r="E278" s="81"/>
      <c r="F278" s="81"/>
      <c r="G278" s="82"/>
      <c r="H278" s="86"/>
    </row>
    <row r="279" spans="2:8" ht="21" x14ac:dyDescent="0.6">
      <c r="B279" s="81"/>
      <c r="C279" s="81"/>
      <c r="D279" s="81"/>
      <c r="E279" s="81"/>
      <c r="F279" s="81"/>
      <c r="G279" s="82"/>
      <c r="H279" s="86"/>
    </row>
    <row r="280" spans="2:8" ht="21" x14ac:dyDescent="0.6">
      <c r="B280" s="81"/>
      <c r="C280" s="81"/>
      <c r="D280" s="81"/>
      <c r="E280" s="81"/>
      <c r="F280" s="81"/>
      <c r="G280" s="82"/>
      <c r="H280" s="86"/>
    </row>
    <row r="281" spans="2:8" ht="21" x14ac:dyDescent="0.6">
      <c r="B281" s="81"/>
      <c r="C281" s="81"/>
      <c r="D281" s="81"/>
      <c r="E281" s="81"/>
      <c r="F281" s="81"/>
      <c r="G281" s="82"/>
      <c r="H281" s="86"/>
    </row>
    <row r="282" spans="2:8" ht="21" x14ac:dyDescent="0.6">
      <c r="B282" s="81"/>
      <c r="C282" s="81"/>
      <c r="D282" s="81"/>
      <c r="E282" s="81"/>
      <c r="F282" s="81"/>
      <c r="G282" s="82"/>
      <c r="H282" s="86"/>
    </row>
    <row r="283" spans="2:8" ht="21" x14ac:dyDescent="0.6">
      <c r="B283" s="81"/>
      <c r="C283" s="81"/>
      <c r="D283" s="81"/>
      <c r="E283" s="81"/>
      <c r="F283" s="81"/>
      <c r="G283" s="82"/>
      <c r="H283" s="86"/>
    </row>
    <row r="284" spans="2:8" ht="21" x14ac:dyDescent="0.6">
      <c r="B284" s="81"/>
      <c r="C284" s="81"/>
      <c r="D284" s="81"/>
      <c r="E284" s="81"/>
      <c r="F284" s="81"/>
      <c r="G284" s="82"/>
      <c r="H284" s="86"/>
    </row>
    <row r="285" spans="2:8" ht="21" x14ac:dyDescent="0.6">
      <c r="B285" s="81"/>
      <c r="C285" s="81"/>
      <c r="D285" s="81"/>
      <c r="E285" s="81"/>
      <c r="F285" s="81"/>
      <c r="G285" s="82"/>
      <c r="H285" s="86"/>
    </row>
    <row r="286" spans="2:8" ht="21" x14ac:dyDescent="0.6">
      <c r="B286" s="81"/>
      <c r="C286" s="81"/>
      <c r="D286" s="81"/>
      <c r="E286" s="81"/>
      <c r="F286" s="81"/>
      <c r="G286" s="82"/>
      <c r="H286" s="86"/>
    </row>
    <row r="287" spans="2:8" ht="21" x14ac:dyDescent="0.6">
      <c r="B287" s="81"/>
      <c r="C287" s="81"/>
      <c r="D287" s="81"/>
      <c r="E287" s="81"/>
      <c r="F287" s="81"/>
      <c r="G287" s="82"/>
      <c r="H287" s="86"/>
    </row>
    <row r="288" spans="2:8" ht="21" x14ac:dyDescent="0.6">
      <c r="B288" s="81"/>
      <c r="C288" s="81"/>
      <c r="D288" s="81"/>
      <c r="E288" s="81"/>
      <c r="F288" s="81"/>
      <c r="G288" s="82"/>
      <c r="H288" s="86"/>
    </row>
    <row r="289" spans="2:8" ht="21" x14ac:dyDescent="0.6">
      <c r="B289" s="81"/>
      <c r="C289" s="81"/>
      <c r="D289" s="81"/>
      <c r="E289" s="81"/>
      <c r="F289" s="81"/>
      <c r="G289" s="82"/>
      <c r="H289" s="86"/>
    </row>
    <row r="290" spans="2:8" ht="21" x14ac:dyDescent="0.6">
      <c r="B290" s="81"/>
      <c r="C290" s="81"/>
      <c r="D290" s="81"/>
      <c r="E290" s="81"/>
      <c r="F290" s="81"/>
      <c r="G290" s="82"/>
      <c r="H290" s="86"/>
    </row>
    <row r="291" spans="2:8" ht="21" x14ac:dyDescent="0.6">
      <c r="B291" s="81"/>
      <c r="C291" s="81"/>
      <c r="D291" s="81"/>
      <c r="E291" s="81"/>
      <c r="F291" s="81"/>
      <c r="G291" s="82"/>
      <c r="H291" s="86"/>
    </row>
    <row r="292" spans="2:8" ht="21" x14ac:dyDescent="0.6">
      <c r="B292" s="81"/>
      <c r="C292" s="81"/>
      <c r="D292" s="81"/>
      <c r="E292" s="81"/>
      <c r="F292" s="81"/>
      <c r="G292" s="82"/>
      <c r="H292" s="86"/>
    </row>
    <row r="293" spans="2:8" ht="21" x14ac:dyDescent="0.6">
      <c r="B293" s="81"/>
      <c r="C293" s="81"/>
      <c r="D293" s="81"/>
      <c r="E293" s="81"/>
      <c r="F293" s="81"/>
      <c r="G293" s="82"/>
      <c r="H293" s="86"/>
    </row>
    <row r="294" spans="2:8" ht="21" x14ac:dyDescent="0.6">
      <c r="B294" s="81"/>
      <c r="C294" s="81"/>
      <c r="D294" s="81"/>
      <c r="E294" s="81"/>
      <c r="F294" s="81"/>
      <c r="G294" s="82"/>
      <c r="H294" s="86"/>
    </row>
    <row r="295" spans="2:8" ht="21" x14ac:dyDescent="0.6">
      <c r="B295" s="81"/>
      <c r="C295" s="81"/>
      <c r="D295" s="81"/>
      <c r="E295" s="81"/>
      <c r="F295" s="81"/>
      <c r="G295" s="82"/>
      <c r="H295" s="86"/>
    </row>
    <row r="296" spans="2:8" ht="21" x14ac:dyDescent="0.6">
      <c r="B296" s="81"/>
      <c r="C296" s="81"/>
      <c r="D296" s="81"/>
      <c r="E296" s="81"/>
      <c r="F296" s="81"/>
      <c r="G296" s="82"/>
      <c r="H296" s="86"/>
    </row>
    <row r="297" spans="2:8" ht="21" x14ac:dyDescent="0.6">
      <c r="B297" s="81"/>
      <c r="C297" s="81"/>
      <c r="D297" s="81"/>
      <c r="E297" s="81"/>
      <c r="F297" s="81"/>
      <c r="G297" s="82"/>
      <c r="H297" s="86"/>
    </row>
    <row r="298" spans="2:8" ht="21" x14ac:dyDescent="0.6">
      <c r="B298" s="81"/>
      <c r="C298" s="81"/>
      <c r="D298" s="81"/>
      <c r="E298" s="81"/>
      <c r="F298" s="81"/>
      <c r="G298" s="82"/>
      <c r="H298" s="86"/>
    </row>
    <row r="299" spans="2:8" ht="21" x14ac:dyDescent="0.6">
      <c r="B299" s="81"/>
      <c r="C299" s="81"/>
      <c r="D299" s="81"/>
      <c r="E299" s="81"/>
      <c r="F299" s="81"/>
      <c r="G299" s="82"/>
      <c r="H299" s="86"/>
    </row>
    <row r="300" spans="2:8" ht="21" x14ac:dyDescent="0.6">
      <c r="B300" s="81"/>
      <c r="C300" s="81"/>
      <c r="D300" s="81"/>
      <c r="E300" s="81"/>
      <c r="F300" s="81"/>
      <c r="G300" s="82"/>
      <c r="H300" s="86"/>
    </row>
    <row r="301" spans="2:8" ht="21" x14ac:dyDescent="0.6">
      <c r="B301" s="81"/>
      <c r="C301" s="81"/>
      <c r="D301" s="81"/>
      <c r="E301" s="81"/>
      <c r="F301" s="81"/>
      <c r="G301" s="82"/>
      <c r="H301" s="86"/>
    </row>
    <row r="302" spans="2:8" ht="21" x14ac:dyDescent="0.6">
      <c r="B302" s="81"/>
      <c r="C302" s="81"/>
      <c r="D302" s="81"/>
      <c r="E302" s="81"/>
      <c r="F302" s="81"/>
      <c r="G302" s="82"/>
      <c r="H302" s="86"/>
    </row>
    <row r="303" spans="2:8" ht="21" x14ac:dyDescent="0.6">
      <c r="B303" s="81"/>
      <c r="C303" s="81"/>
      <c r="D303" s="81"/>
      <c r="E303" s="81"/>
      <c r="F303" s="81"/>
      <c r="G303" s="82"/>
      <c r="H303" s="86"/>
    </row>
    <row r="304" spans="2:8" ht="21" x14ac:dyDescent="0.6">
      <c r="B304" s="81"/>
      <c r="C304" s="81"/>
      <c r="D304" s="81"/>
      <c r="E304" s="81"/>
      <c r="F304" s="81"/>
      <c r="G304" s="82"/>
      <c r="H304" s="86"/>
    </row>
    <row r="305" spans="2:8" ht="21" x14ac:dyDescent="0.6">
      <c r="B305" s="81"/>
      <c r="C305" s="81"/>
      <c r="D305" s="81"/>
      <c r="E305" s="81"/>
      <c r="F305" s="81"/>
      <c r="G305" s="82"/>
      <c r="H305" s="86"/>
    </row>
    <row r="306" spans="2:8" ht="21" x14ac:dyDescent="0.6">
      <c r="B306" s="81"/>
      <c r="C306" s="81"/>
      <c r="D306" s="81"/>
      <c r="E306" s="81"/>
      <c r="F306" s="81"/>
      <c r="G306" s="82"/>
      <c r="H306" s="86"/>
    </row>
    <row r="307" spans="2:8" ht="21" x14ac:dyDescent="0.6">
      <c r="B307" s="81"/>
      <c r="C307" s="81"/>
      <c r="D307" s="81"/>
      <c r="E307" s="81"/>
      <c r="F307" s="81"/>
      <c r="G307" s="82"/>
      <c r="H307" s="86"/>
    </row>
    <row r="308" spans="2:8" ht="21" x14ac:dyDescent="0.6">
      <c r="B308" s="81"/>
      <c r="C308" s="81"/>
      <c r="D308" s="81"/>
      <c r="E308" s="81"/>
      <c r="F308" s="81"/>
      <c r="G308" s="82"/>
      <c r="H308" s="86"/>
    </row>
    <row r="309" spans="2:8" ht="21" x14ac:dyDescent="0.6">
      <c r="B309" s="81"/>
      <c r="C309" s="81"/>
      <c r="D309" s="81"/>
      <c r="E309" s="81"/>
      <c r="F309" s="81"/>
      <c r="G309" s="82"/>
      <c r="H309" s="86"/>
    </row>
    <row r="310" spans="2:8" ht="21" x14ac:dyDescent="0.6">
      <c r="B310" s="81"/>
      <c r="C310" s="81"/>
      <c r="D310" s="81"/>
      <c r="E310" s="81"/>
      <c r="F310" s="81"/>
      <c r="G310" s="82"/>
      <c r="H310" s="86"/>
    </row>
    <row r="311" spans="2:8" ht="21" x14ac:dyDescent="0.6">
      <c r="B311" s="81"/>
      <c r="C311" s="81"/>
      <c r="D311" s="81"/>
      <c r="E311" s="81"/>
      <c r="F311" s="81"/>
      <c r="G311" s="82"/>
      <c r="H311" s="86"/>
    </row>
    <row r="312" spans="2:8" ht="21" x14ac:dyDescent="0.6">
      <c r="B312" s="81"/>
      <c r="C312" s="81"/>
      <c r="D312" s="81"/>
      <c r="E312" s="81"/>
      <c r="F312" s="81"/>
      <c r="G312" s="82"/>
      <c r="H312" s="86"/>
    </row>
    <row r="313" spans="2:8" ht="21" x14ac:dyDescent="0.6">
      <c r="B313" s="81"/>
      <c r="C313" s="81"/>
      <c r="D313" s="81"/>
      <c r="E313" s="81"/>
      <c r="F313" s="81"/>
      <c r="G313" s="82"/>
      <c r="H313" s="86"/>
    </row>
    <row r="314" spans="2:8" ht="21" x14ac:dyDescent="0.6">
      <c r="B314" s="81"/>
      <c r="C314" s="81"/>
      <c r="D314" s="81"/>
      <c r="E314" s="81"/>
      <c r="F314" s="81"/>
      <c r="G314" s="82"/>
      <c r="H314" s="86"/>
    </row>
    <row r="315" spans="2:8" ht="21" x14ac:dyDescent="0.6">
      <c r="B315" s="81"/>
      <c r="C315" s="81"/>
      <c r="D315" s="81"/>
      <c r="E315" s="81"/>
      <c r="F315" s="81"/>
      <c r="G315" s="82"/>
      <c r="H315" s="86"/>
    </row>
    <row r="316" spans="2:8" ht="21" x14ac:dyDescent="0.6">
      <c r="B316" s="81"/>
      <c r="C316" s="81"/>
      <c r="D316" s="81"/>
      <c r="E316" s="81"/>
      <c r="F316" s="81"/>
      <c r="G316" s="82"/>
      <c r="H316" s="86"/>
    </row>
    <row r="317" spans="2:8" ht="21" x14ac:dyDescent="0.6">
      <c r="B317" s="81"/>
      <c r="C317" s="81"/>
      <c r="D317" s="81"/>
      <c r="E317" s="81"/>
      <c r="F317" s="81"/>
      <c r="G317" s="82"/>
      <c r="H317" s="86"/>
    </row>
    <row r="318" spans="2:8" ht="21" x14ac:dyDescent="0.6">
      <c r="B318" s="81"/>
      <c r="C318" s="81"/>
      <c r="D318" s="81"/>
      <c r="E318" s="81"/>
      <c r="F318" s="81"/>
      <c r="G318" s="82"/>
      <c r="H318" s="86"/>
    </row>
    <row r="319" spans="2:8" ht="21" x14ac:dyDescent="0.6">
      <c r="B319" s="81"/>
      <c r="C319" s="81"/>
      <c r="D319" s="81"/>
      <c r="E319" s="81"/>
      <c r="F319" s="81"/>
      <c r="G319" s="82"/>
      <c r="H319" s="86"/>
    </row>
    <row r="320" spans="2:8" ht="21" x14ac:dyDescent="0.6">
      <c r="B320" s="81"/>
      <c r="C320" s="81"/>
      <c r="D320" s="81"/>
      <c r="E320" s="81"/>
      <c r="F320" s="81"/>
      <c r="G320" s="82"/>
      <c r="H320" s="86"/>
    </row>
    <row r="321" spans="2:8" ht="21" x14ac:dyDescent="0.6">
      <c r="B321" s="81"/>
      <c r="C321" s="81"/>
      <c r="D321" s="81"/>
      <c r="E321" s="81"/>
      <c r="F321" s="81"/>
      <c r="G321" s="82"/>
      <c r="H321" s="86"/>
    </row>
    <row r="322" spans="2:8" ht="21" x14ac:dyDescent="0.6">
      <c r="B322" s="81"/>
      <c r="C322" s="81"/>
      <c r="D322" s="81"/>
      <c r="E322" s="81"/>
      <c r="F322" s="81"/>
      <c r="G322" s="82"/>
      <c r="H322" s="86"/>
    </row>
    <row r="323" spans="2:8" ht="21" x14ac:dyDescent="0.6">
      <c r="B323" s="81"/>
      <c r="C323" s="81"/>
      <c r="D323" s="81"/>
      <c r="E323" s="81"/>
      <c r="F323" s="81"/>
      <c r="G323" s="82"/>
      <c r="H323" s="86"/>
    </row>
    <row r="324" spans="2:8" ht="21" x14ac:dyDescent="0.6">
      <c r="B324" s="81"/>
      <c r="C324" s="81"/>
      <c r="D324" s="81"/>
      <c r="E324" s="81"/>
      <c r="F324" s="81"/>
      <c r="G324" s="82"/>
      <c r="H324" s="86"/>
    </row>
    <row r="325" spans="2:8" ht="21" x14ac:dyDescent="0.6">
      <c r="B325" s="81"/>
      <c r="C325" s="81"/>
      <c r="D325" s="81"/>
      <c r="E325" s="81"/>
      <c r="F325" s="81"/>
      <c r="G325" s="82"/>
      <c r="H325" s="86"/>
    </row>
    <row r="326" spans="2:8" ht="21" x14ac:dyDescent="0.6">
      <c r="B326" s="81"/>
      <c r="C326" s="81"/>
      <c r="D326" s="81"/>
      <c r="E326" s="81"/>
      <c r="F326" s="81"/>
      <c r="G326" s="82"/>
      <c r="H326" s="86"/>
    </row>
    <row r="327" spans="2:8" ht="21" x14ac:dyDescent="0.6">
      <c r="B327" s="81"/>
      <c r="C327" s="81"/>
      <c r="D327" s="81"/>
      <c r="E327" s="81"/>
      <c r="F327" s="81"/>
      <c r="G327" s="82"/>
      <c r="H327" s="86"/>
    </row>
    <row r="328" spans="2:8" ht="21" x14ac:dyDescent="0.6">
      <c r="B328" s="81"/>
      <c r="C328" s="81"/>
      <c r="D328" s="81"/>
      <c r="E328" s="81"/>
      <c r="F328" s="81"/>
      <c r="G328" s="82"/>
      <c r="H328" s="86"/>
    </row>
    <row r="329" spans="2:8" ht="21" x14ac:dyDescent="0.6">
      <c r="B329" s="81"/>
      <c r="C329" s="81"/>
      <c r="D329" s="81"/>
      <c r="E329" s="81"/>
      <c r="F329" s="81"/>
      <c r="G329" s="82"/>
      <c r="H329" s="86"/>
    </row>
    <row r="330" spans="2:8" ht="21" x14ac:dyDescent="0.6">
      <c r="B330" s="81"/>
      <c r="C330" s="81"/>
      <c r="D330" s="81"/>
      <c r="E330" s="81"/>
      <c r="F330" s="81"/>
      <c r="G330" s="82"/>
      <c r="H330" s="86"/>
    </row>
    <row r="331" spans="2:8" ht="21" x14ac:dyDescent="0.6">
      <c r="B331" s="81"/>
      <c r="C331" s="81"/>
      <c r="D331" s="81"/>
      <c r="E331" s="81"/>
      <c r="F331" s="81"/>
      <c r="G331" s="82"/>
      <c r="H331" s="86"/>
    </row>
    <row r="332" spans="2:8" ht="21" x14ac:dyDescent="0.6">
      <c r="B332" s="81"/>
      <c r="C332" s="81"/>
      <c r="D332" s="81"/>
      <c r="E332" s="81"/>
      <c r="F332" s="81"/>
      <c r="G332" s="82"/>
      <c r="H332" s="86"/>
    </row>
    <row r="333" spans="2:8" ht="21" x14ac:dyDescent="0.6">
      <c r="B333" s="81"/>
      <c r="C333" s="81"/>
      <c r="D333" s="81"/>
      <c r="E333" s="81"/>
      <c r="F333" s="81"/>
      <c r="G333" s="82"/>
      <c r="H333" s="86"/>
    </row>
    <row r="334" spans="2:8" ht="21" x14ac:dyDescent="0.6">
      <c r="B334" s="81"/>
      <c r="C334" s="81"/>
      <c r="D334" s="81"/>
      <c r="E334" s="81"/>
      <c r="F334" s="81"/>
      <c r="G334" s="82"/>
      <c r="H334" s="86"/>
    </row>
    <row r="335" spans="2:8" ht="21" x14ac:dyDescent="0.6">
      <c r="B335" s="81"/>
      <c r="C335" s="81"/>
      <c r="D335" s="81"/>
      <c r="E335" s="81"/>
      <c r="F335" s="81"/>
      <c r="G335" s="82"/>
      <c r="H335" s="86"/>
    </row>
    <row r="336" spans="2:8" ht="21" x14ac:dyDescent="0.6">
      <c r="B336" s="81"/>
      <c r="C336" s="81"/>
      <c r="D336" s="81"/>
      <c r="E336" s="81"/>
      <c r="F336" s="81"/>
      <c r="G336" s="82"/>
      <c r="H336" s="86"/>
    </row>
    <row r="337" spans="2:8" ht="21" x14ac:dyDescent="0.6">
      <c r="B337" s="81"/>
      <c r="C337" s="81"/>
      <c r="D337" s="81"/>
      <c r="E337" s="81"/>
      <c r="F337" s="81"/>
      <c r="G337" s="82"/>
      <c r="H337" s="86"/>
    </row>
    <row r="338" spans="2:8" ht="21" x14ac:dyDescent="0.6">
      <c r="B338" s="81"/>
      <c r="C338" s="81"/>
      <c r="D338" s="81"/>
      <c r="E338" s="81"/>
      <c r="F338" s="81"/>
      <c r="G338" s="82"/>
      <c r="H338" s="86"/>
    </row>
    <row r="339" spans="2:8" ht="21" x14ac:dyDescent="0.6">
      <c r="B339" s="81"/>
      <c r="C339" s="81"/>
      <c r="D339" s="81"/>
      <c r="E339" s="81"/>
      <c r="F339" s="81"/>
      <c r="G339" s="82"/>
      <c r="H339" s="86"/>
    </row>
    <row r="340" spans="2:8" ht="21" x14ac:dyDescent="0.6">
      <c r="B340" s="81"/>
      <c r="C340" s="81"/>
      <c r="D340" s="81"/>
      <c r="E340" s="81"/>
      <c r="F340" s="81"/>
      <c r="G340" s="82"/>
      <c r="H340" s="86"/>
    </row>
    <row r="341" spans="2:8" ht="21" x14ac:dyDescent="0.6">
      <c r="B341" s="81"/>
      <c r="C341" s="81"/>
      <c r="D341" s="81"/>
      <c r="E341" s="81"/>
      <c r="F341" s="81"/>
      <c r="G341" s="82"/>
      <c r="H341" s="86"/>
    </row>
    <row r="342" spans="2:8" ht="21" x14ac:dyDescent="0.6">
      <c r="B342" s="81"/>
      <c r="C342" s="81"/>
      <c r="D342" s="81"/>
      <c r="E342" s="81"/>
      <c r="F342" s="81"/>
      <c r="G342" s="82"/>
      <c r="H342" s="86"/>
    </row>
    <row r="343" spans="2:8" ht="21" x14ac:dyDescent="0.6">
      <c r="B343" s="81"/>
      <c r="C343" s="81"/>
      <c r="D343" s="81"/>
      <c r="E343" s="81"/>
      <c r="F343" s="81"/>
      <c r="G343" s="82"/>
      <c r="H343" s="86"/>
    </row>
    <row r="344" spans="2:8" ht="21" x14ac:dyDescent="0.6">
      <c r="B344" s="81"/>
      <c r="C344" s="81"/>
      <c r="D344" s="81"/>
      <c r="E344" s="81"/>
      <c r="F344" s="81"/>
      <c r="G344" s="82"/>
      <c r="H344" s="86"/>
    </row>
    <row r="345" spans="2:8" ht="21" x14ac:dyDescent="0.6">
      <c r="B345" s="81"/>
      <c r="C345" s="81"/>
      <c r="D345" s="81"/>
      <c r="E345" s="81"/>
      <c r="F345" s="81"/>
      <c r="G345" s="82"/>
      <c r="H345" s="86"/>
    </row>
    <row r="346" spans="2:8" ht="21" x14ac:dyDescent="0.6">
      <c r="B346" s="81"/>
      <c r="C346" s="81"/>
      <c r="D346" s="81"/>
      <c r="E346" s="81"/>
      <c r="F346" s="81"/>
      <c r="G346" s="82"/>
      <c r="H346" s="86"/>
    </row>
    <row r="347" spans="2:8" ht="21" x14ac:dyDescent="0.6">
      <c r="B347" s="81"/>
      <c r="C347" s="81"/>
      <c r="D347" s="81"/>
      <c r="E347" s="81"/>
      <c r="F347" s="81"/>
      <c r="G347" s="82"/>
      <c r="H347" s="86"/>
    </row>
    <row r="348" spans="2:8" ht="21" x14ac:dyDescent="0.6">
      <c r="B348" s="81"/>
      <c r="C348" s="81"/>
      <c r="D348" s="81"/>
      <c r="E348" s="81"/>
      <c r="F348" s="81"/>
      <c r="G348" s="82"/>
      <c r="H348" s="86"/>
    </row>
    <row r="349" spans="2:8" ht="21" x14ac:dyDescent="0.6">
      <c r="B349" s="81"/>
      <c r="C349" s="81"/>
      <c r="D349" s="81"/>
      <c r="E349" s="81"/>
      <c r="F349" s="81"/>
      <c r="G349" s="82"/>
      <c r="H349" s="86"/>
    </row>
    <row r="350" spans="2:8" ht="21" x14ac:dyDescent="0.6">
      <c r="B350" s="81"/>
      <c r="C350" s="81"/>
      <c r="D350" s="81"/>
      <c r="E350" s="81"/>
      <c r="F350" s="81"/>
      <c r="G350" s="82"/>
      <c r="H350" s="86"/>
    </row>
    <row r="351" spans="2:8" ht="21" x14ac:dyDescent="0.6">
      <c r="B351" s="81"/>
      <c r="C351" s="81"/>
      <c r="D351" s="81"/>
      <c r="E351" s="81"/>
      <c r="F351" s="81"/>
      <c r="G351" s="82"/>
      <c r="H351" s="86"/>
    </row>
    <row r="352" spans="2:8" ht="21" x14ac:dyDescent="0.6">
      <c r="B352" s="81"/>
      <c r="C352" s="81"/>
      <c r="D352" s="81"/>
      <c r="E352" s="81"/>
      <c r="F352" s="81"/>
      <c r="G352" s="82"/>
      <c r="H352" s="86"/>
    </row>
    <row r="353" spans="2:8" ht="21" x14ac:dyDescent="0.6">
      <c r="B353" s="81"/>
      <c r="C353" s="81"/>
      <c r="D353" s="81"/>
      <c r="E353" s="81"/>
      <c r="F353" s="81"/>
      <c r="G353" s="82"/>
      <c r="H353" s="86"/>
    </row>
    <row r="354" spans="2:8" ht="21" x14ac:dyDescent="0.6">
      <c r="B354" s="81"/>
      <c r="C354" s="81"/>
      <c r="D354" s="81"/>
      <c r="E354" s="81"/>
      <c r="F354" s="81"/>
      <c r="G354" s="82"/>
      <c r="H354" s="86"/>
    </row>
    <row r="355" spans="2:8" ht="21" x14ac:dyDescent="0.6">
      <c r="B355" s="81"/>
      <c r="C355" s="81"/>
      <c r="D355" s="81"/>
      <c r="E355" s="81"/>
      <c r="F355" s="81"/>
      <c r="G355" s="82"/>
      <c r="H355" s="86"/>
    </row>
    <row r="356" spans="2:8" ht="21" x14ac:dyDescent="0.6">
      <c r="B356" s="81"/>
      <c r="C356" s="81"/>
      <c r="D356" s="81"/>
      <c r="E356" s="81"/>
      <c r="F356" s="81"/>
      <c r="G356" s="82"/>
      <c r="H356" s="86"/>
    </row>
    <row r="357" spans="2:8" ht="21" x14ac:dyDescent="0.6">
      <c r="B357" s="81"/>
      <c r="C357" s="81"/>
      <c r="D357" s="81"/>
      <c r="E357" s="81"/>
      <c r="F357" s="81"/>
      <c r="G357" s="82"/>
      <c r="H357" s="86"/>
    </row>
    <row r="358" spans="2:8" ht="21" x14ac:dyDescent="0.6">
      <c r="B358" s="81"/>
      <c r="C358" s="81"/>
      <c r="D358" s="81"/>
      <c r="E358" s="81"/>
      <c r="F358" s="81"/>
      <c r="G358" s="82"/>
      <c r="H358" s="86"/>
    </row>
    <row r="359" spans="2:8" ht="21" x14ac:dyDescent="0.6">
      <c r="B359" s="81"/>
      <c r="C359" s="81"/>
      <c r="D359" s="81"/>
      <c r="E359" s="81"/>
      <c r="F359" s="81"/>
      <c r="G359" s="82"/>
      <c r="H359" s="86"/>
    </row>
    <row r="360" spans="2:8" ht="21" x14ac:dyDescent="0.6">
      <c r="B360" s="81"/>
      <c r="C360" s="81"/>
      <c r="D360" s="81"/>
      <c r="E360" s="81"/>
      <c r="F360" s="81"/>
      <c r="G360" s="82"/>
      <c r="H360" s="86"/>
    </row>
    <row r="361" spans="2:8" ht="21" x14ac:dyDescent="0.6">
      <c r="B361" s="81"/>
      <c r="C361" s="81"/>
      <c r="D361" s="81"/>
      <c r="E361" s="81"/>
      <c r="F361" s="81"/>
      <c r="G361" s="82"/>
      <c r="H361" s="86"/>
    </row>
    <row r="362" spans="2:8" ht="21" x14ac:dyDescent="0.6">
      <c r="B362" s="81"/>
      <c r="C362" s="81"/>
      <c r="D362" s="81"/>
      <c r="E362" s="81"/>
      <c r="F362" s="81"/>
      <c r="G362" s="82"/>
      <c r="H362" s="86"/>
    </row>
    <row r="363" spans="2:8" ht="21" x14ac:dyDescent="0.6">
      <c r="B363" s="81"/>
      <c r="C363" s="81"/>
      <c r="D363" s="81"/>
      <c r="E363" s="81"/>
      <c r="F363" s="81"/>
      <c r="G363" s="82"/>
      <c r="H363" s="86"/>
    </row>
    <row r="364" spans="2:8" ht="21" x14ac:dyDescent="0.6">
      <c r="B364" s="81"/>
      <c r="C364" s="81"/>
      <c r="D364" s="81"/>
      <c r="E364" s="81"/>
      <c r="F364" s="81"/>
      <c r="G364" s="82"/>
      <c r="H364" s="86"/>
    </row>
    <row r="365" spans="2:8" ht="21" x14ac:dyDescent="0.6">
      <c r="B365" s="81"/>
      <c r="C365" s="81"/>
      <c r="D365" s="81"/>
      <c r="E365" s="81"/>
      <c r="F365" s="81"/>
      <c r="G365" s="82"/>
      <c r="H365" s="86"/>
    </row>
    <row r="366" spans="2:8" ht="21" x14ac:dyDescent="0.6">
      <c r="B366" s="81"/>
      <c r="C366" s="81"/>
      <c r="D366" s="81"/>
      <c r="E366" s="81"/>
      <c r="F366" s="81"/>
      <c r="G366" s="82"/>
      <c r="H366" s="86"/>
    </row>
    <row r="367" spans="2:8" ht="21" x14ac:dyDescent="0.6">
      <c r="B367" s="81"/>
      <c r="C367" s="81"/>
      <c r="D367" s="81"/>
      <c r="E367" s="81"/>
      <c r="F367" s="81"/>
      <c r="G367" s="82"/>
      <c r="H367" s="86"/>
    </row>
    <row r="368" spans="2:8" ht="21" x14ac:dyDescent="0.6">
      <c r="B368" s="81"/>
      <c r="C368" s="81"/>
      <c r="D368" s="81"/>
      <c r="E368" s="81"/>
      <c r="F368" s="81"/>
      <c r="G368" s="82"/>
      <c r="H368" s="86"/>
    </row>
    <row r="369" spans="2:8" ht="21" x14ac:dyDescent="0.6">
      <c r="B369" s="81"/>
      <c r="C369" s="81"/>
      <c r="D369" s="81"/>
      <c r="E369" s="81"/>
      <c r="F369" s="81"/>
      <c r="G369" s="82"/>
      <c r="H369" s="86"/>
    </row>
    <row r="370" spans="2:8" ht="21" x14ac:dyDescent="0.6">
      <c r="B370" s="81"/>
      <c r="C370" s="81"/>
      <c r="D370" s="81"/>
      <c r="E370" s="81"/>
      <c r="F370" s="81"/>
      <c r="G370" s="82"/>
      <c r="H370" s="86"/>
    </row>
    <row r="371" spans="2:8" ht="21" x14ac:dyDescent="0.6">
      <c r="B371" s="81"/>
      <c r="C371" s="81"/>
      <c r="D371" s="81"/>
      <c r="E371" s="81"/>
      <c r="F371" s="81"/>
      <c r="G371" s="82"/>
      <c r="H371" s="86"/>
    </row>
    <row r="372" spans="2:8" ht="21" x14ac:dyDescent="0.6">
      <c r="B372" s="81"/>
      <c r="C372" s="81"/>
      <c r="D372" s="81"/>
      <c r="E372" s="81"/>
      <c r="F372" s="81"/>
      <c r="G372" s="82"/>
      <c r="H372" s="86"/>
    </row>
    <row r="373" spans="2:8" ht="21" x14ac:dyDescent="0.6">
      <c r="B373" s="81"/>
      <c r="C373" s="81"/>
      <c r="D373" s="81"/>
      <c r="E373" s="81"/>
      <c r="F373" s="81"/>
      <c r="G373" s="82"/>
      <c r="H373" s="86"/>
    </row>
    <row r="374" spans="2:8" ht="21" x14ac:dyDescent="0.6">
      <c r="B374" s="81"/>
      <c r="C374" s="81"/>
      <c r="D374" s="81"/>
      <c r="E374" s="81"/>
      <c r="F374" s="81"/>
      <c r="G374" s="82"/>
      <c r="H374" s="86"/>
    </row>
    <row r="375" spans="2:8" ht="21" x14ac:dyDescent="0.6">
      <c r="B375" s="81"/>
      <c r="C375" s="81"/>
      <c r="D375" s="81"/>
      <c r="E375" s="81"/>
      <c r="F375" s="81"/>
      <c r="G375" s="82"/>
      <c r="H375" s="86"/>
    </row>
    <row r="376" spans="2:8" ht="21" x14ac:dyDescent="0.6">
      <c r="B376" s="81"/>
      <c r="C376" s="81"/>
      <c r="D376" s="81"/>
      <c r="E376" s="81"/>
      <c r="F376" s="81"/>
      <c r="G376" s="82"/>
      <c r="H376" s="86"/>
    </row>
    <row r="377" spans="2:8" ht="21" x14ac:dyDescent="0.6">
      <c r="B377" s="81"/>
      <c r="C377" s="81"/>
      <c r="D377" s="81"/>
      <c r="E377" s="81"/>
      <c r="F377" s="81"/>
      <c r="G377" s="82"/>
      <c r="H377" s="86"/>
    </row>
    <row r="378" spans="2:8" ht="21" x14ac:dyDescent="0.6">
      <c r="B378" s="81"/>
      <c r="C378" s="81"/>
      <c r="D378" s="81"/>
      <c r="E378" s="81"/>
      <c r="F378" s="81"/>
      <c r="G378" s="82"/>
      <c r="H378" s="86"/>
    </row>
    <row r="379" spans="2:8" ht="21" x14ac:dyDescent="0.6">
      <c r="B379" s="81"/>
      <c r="C379" s="81"/>
      <c r="D379" s="81"/>
      <c r="E379" s="81"/>
      <c r="F379" s="81"/>
      <c r="G379" s="82"/>
      <c r="H379" s="86"/>
    </row>
    <row r="380" spans="2:8" ht="21" x14ac:dyDescent="0.6">
      <c r="B380" s="81"/>
      <c r="C380" s="81"/>
      <c r="D380" s="81"/>
      <c r="E380" s="81"/>
      <c r="F380" s="81"/>
      <c r="G380" s="82"/>
      <c r="H380" s="86"/>
    </row>
    <row r="381" spans="2:8" ht="21" x14ac:dyDescent="0.6">
      <c r="B381" s="81"/>
      <c r="C381" s="81"/>
      <c r="D381" s="81"/>
      <c r="E381" s="81"/>
      <c r="F381" s="81"/>
      <c r="G381" s="82"/>
      <c r="H381" s="86"/>
    </row>
    <row r="382" spans="2:8" ht="21" x14ac:dyDescent="0.6">
      <c r="B382" s="81"/>
      <c r="C382" s="81"/>
      <c r="D382" s="81"/>
      <c r="E382" s="81"/>
      <c r="F382" s="81"/>
      <c r="G382" s="82"/>
      <c r="H382" s="86"/>
    </row>
    <row r="383" spans="2:8" ht="21" x14ac:dyDescent="0.6">
      <c r="B383" s="81"/>
      <c r="C383" s="81"/>
      <c r="D383" s="81"/>
      <c r="E383" s="81"/>
      <c r="F383" s="81"/>
      <c r="G383" s="82"/>
      <c r="H383" s="86"/>
    </row>
    <row r="384" spans="2:8" ht="21" x14ac:dyDescent="0.6">
      <c r="B384" s="81"/>
      <c r="C384" s="81"/>
      <c r="D384" s="81"/>
      <c r="E384" s="81"/>
      <c r="F384" s="81"/>
      <c r="G384" s="82"/>
      <c r="H384" s="86"/>
    </row>
    <row r="385" spans="2:8" ht="21" x14ac:dyDescent="0.6">
      <c r="B385" s="81"/>
      <c r="C385" s="81"/>
      <c r="D385" s="81"/>
      <c r="E385" s="81"/>
      <c r="F385" s="81"/>
      <c r="G385" s="82"/>
      <c r="H385" s="86"/>
    </row>
    <row r="386" spans="2:8" ht="21" x14ac:dyDescent="0.6">
      <c r="B386" s="81"/>
      <c r="C386" s="81"/>
      <c r="D386" s="81"/>
      <c r="E386" s="81"/>
      <c r="F386" s="81"/>
      <c r="G386" s="82"/>
      <c r="H386" s="86"/>
    </row>
    <row r="387" spans="2:8" ht="21" x14ac:dyDescent="0.6">
      <c r="B387" s="81"/>
      <c r="C387" s="81"/>
      <c r="D387" s="81"/>
      <c r="E387" s="81"/>
      <c r="F387" s="81"/>
      <c r="G387" s="82"/>
      <c r="H387" s="86"/>
    </row>
    <row r="388" spans="2:8" ht="21" x14ac:dyDescent="0.6">
      <c r="B388" s="81"/>
      <c r="C388" s="81"/>
      <c r="D388" s="81"/>
      <c r="E388" s="81"/>
      <c r="F388" s="81"/>
      <c r="G388" s="82"/>
      <c r="H388" s="86"/>
    </row>
    <row r="389" spans="2:8" ht="21" x14ac:dyDescent="0.6">
      <c r="B389" s="81"/>
      <c r="C389" s="81"/>
      <c r="D389" s="81"/>
      <c r="E389" s="81"/>
      <c r="F389" s="81"/>
      <c r="G389" s="82"/>
      <c r="H389" s="86"/>
    </row>
    <row r="390" spans="2:8" ht="21" x14ac:dyDescent="0.6">
      <c r="B390" s="81"/>
      <c r="C390" s="81"/>
      <c r="D390" s="81"/>
      <c r="E390" s="81"/>
      <c r="F390" s="81"/>
      <c r="G390" s="82"/>
      <c r="H390" s="86"/>
    </row>
    <row r="391" spans="2:8" ht="21" x14ac:dyDescent="0.6">
      <c r="B391" s="81"/>
      <c r="C391" s="81"/>
      <c r="D391" s="81"/>
      <c r="E391" s="81"/>
      <c r="F391" s="81"/>
      <c r="G391" s="82"/>
      <c r="H391" s="86"/>
    </row>
    <row r="392" spans="2:8" ht="21" x14ac:dyDescent="0.6">
      <c r="B392" s="81"/>
      <c r="C392" s="81"/>
      <c r="D392" s="81"/>
      <c r="E392" s="81"/>
      <c r="F392" s="81"/>
      <c r="G392" s="82"/>
      <c r="H392" s="86"/>
    </row>
    <row r="393" spans="2:8" ht="21" x14ac:dyDescent="0.6">
      <c r="B393" s="81"/>
      <c r="C393" s="81"/>
      <c r="D393" s="81"/>
      <c r="E393" s="81"/>
      <c r="F393" s="81"/>
      <c r="G393" s="82"/>
      <c r="H393" s="86"/>
    </row>
    <row r="394" spans="2:8" ht="21" x14ac:dyDescent="0.6">
      <c r="B394" s="81"/>
      <c r="C394" s="81"/>
      <c r="D394" s="81"/>
      <c r="E394" s="81"/>
      <c r="F394" s="81"/>
      <c r="G394" s="82"/>
      <c r="H394" s="86"/>
    </row>
    <row r="395" spans="2:8" ht="21" x14ac:dyDescent="0.6">
      <c r="B395" s="81"/>
      <c r="C395" s="81"/>
      <c r="D395" s="81"/>
      <c r="E395" s="81"/>
      <c r="F395" s="81"/>
      <c r="G395" s="82"/>
      <c r="H395" s="86"/>
    </row>
    <row r="396" spans="2:8" ht="21" x14ac:dyDescent="0.6">
      <c r="B396" s="81"/>
      <c r="C396" s="81"/>
      <c r="D396" s="81"/>
      <c r="E396" s="81"/>
      <c r="F396" s="81"/>
      <c r="G396" s="82"/>
      <c r="H396" s="86"/>
    </row>
    <row r="397" spans="2:8" ht="21" x14ac:dyDescent="0.6">
      <c r="B397" s="81"/>
      <c r="C397" s="81"/>
      <c r="D397" s="81"/>
      <c r="E397" s="81"/>
      <c r="F397" s="81"/>
      <c r="G397" s="82"/>
      <c r="H397" s="86"/>
    </row>
    <row r="398" spans="2:8" ht="21" x14ac:dyDescent="0.6">
      <c r="B398" s="81"/>
      <c r="C398" s="81"/>
      <c r="D398" s="81"/>
      <c r="E398" s="81"/>
      <c r="F398" s="81"/>
      <c r="G398" s="82"/>
      <c r="H398" s="86"/>
    </row>
    <row r="399" spans="2:8" ht="21" x14ac:dyDescent="0.6">
      <c r="B399" s="81"/>
      <c r="C399" s="81"/>
      <c r="D399" s="81"/>
      <c r="E399" s="81"/>
      <c r="F399" s="81"/>
      <c r="G399" s="82"/>
      <c r="H399" s="86"/>
    </row>
    <row r="400" spans="2:8" ht="21" x14ac:dyDescent="0.6">
      <c r="B400" s="81"/>
      <c r="C400" s="81"/>
      <c r="D400" s="81"/>
      <c r="E400" s="81"/>
      <c r="F400" s="81"/>
      <c r="G400" s="82"/>
      <c r="H400" s="86"/>
    </row>
    <row r="401" spans="2:8" ht="21" x14ac:dyDescent="0.6">
      <c r="B401" s="81"/>
      <c r="C401" s="81"/>
      <c r="D401" s="81"/>
      <c r="E401" s="81"/>
      <c r="F401" s="81"/>
      <c r="G401" s="82"/>
      <c r="H401" s="86"/>
    </row>
    <row r="402" spans="2:8" ht="21" x14ac:dyDescent="0.6">
      <c r="B402" s="81"/>
      <c r="C402" s="81"/>
      <c r="D402" s="81"/>
      <c r="E402" s="81"/>
      <c r="F402" s="81"/>
      <c r="G402" s="82"/>
      <c r="H402" s="86"/>
    </row>
    <row r="403" spans="2:8" ht="21" x14ac:dyDescent="0.6">
      <c r="B403" s="81"/>
      <c r="C403" s="81"/>
      <c r="D403" s="81"/>
      <c r="E403" s="81"/>
      <c r="F403" s="81"/>
      <c r="G403" s="82"/>
      <c r="H403" s="86"/>
    </row>
    <row r="404" spans="2:8" ht="21" x14ac:dyDescent="0.6">
      <c r="B404" s="81"/>
      <c r="C404" s="81"/>
      <c r="D404" s="81"/>
      <c r="E404" s="81"/>
      <c r="F404" s="81"/>
      <c r="G404" s="82"/>
      <c r="H404" s="86"/>
    </row>
    <row r="405" spans="2:8" ht="21" x14ac:dyDescent="0.6">
      <c r="B405" s="81"/>
      <c r="C405" s="81"/>
      <c r="D405" s="81"/>
      <c r="E405" s="81"/>
      <c r="F405" s="81"/>
      <c r="G405" s="82"/>
      <c r="H405" s="86"/>
    </row>
    <row r="406" spans="2:8" ht="21" x14ac:dyDescent="0.6">
      <c r="B406" s="81"/>
      <c r="C406" s="81"/>
      <c r="D406" s="81"/>
      <c r="E406" s="81"/>
      <c r="F406" s="81"/>
      <c r="G406" s="82"/>
      <c r="H406" s="86"/>
    </row>
    <row r="407" spans="2:8" ht="21" x14ac:dyDescent="0.6">
      <c r="B407" s="81"/>
      <c r="C407" s="81"/>
      <c r="D407" s="81"/>
      <c r="E407" s="81"/>
      <c r="F407" s="81"/>
      <c r="G407" s="82"/>
      <c r="H407" s="86"/>
    </row>
    <row r="408" spans="2:8" ht="21" x14ac:dyDescent="0.6">
      <c r="B408" s="81"/>
      <c r="C408" s="81"/>
      <c r="D408" s="81"/>
      <c r="E408" s="81"/>
      <c r="F408" s="81"/>
      <c r="G408" s="82"/>
      <c r="H408" s="86"/>
    </row>
    <row r="409" spans="2:8" ht="21" x14ac:dyDescent="0.6">
      <c r="B409" s="81"/>
      <c r="C409" s="81"/>
      <c r="D409" s="81"/>
      <c r="E409" s="81"/>
      <c r="F409" s="81"/>
      <c r="G409" s="82"/>
      <c r="H409" s="86"/>
    </row>
    <row r="410" spans="2:8" ht="21" x14ac:dyDescent="0.6">
      <c r="B410" s="81"/>
      <c r="C410" s="81"/>
      <c r="D410" s="81"/>
      <c r="E410" s="81"/>
      <c r="F410" s="81"/>
      <c r="G410" s="82"/>
      <c r="H410" s="86"/>
    </row>
    <row r="411" spans="2:8" ht="21" x14ac:dyDescent="0.6">
      <c r="B411" s="81"/>
      <c r="C411" s="81"/>
      <c r="D411" s="81"/>
      <c r="E411" s="81"/>
      <c r="F411" s="81"/>
      <c r="G411" s="82"/>
      <c r="H411" s="86"/>
    </row>
    <row r="412" spans="2:8" ht="21" x14ac:dyDescent="0.6">
      <c r="B412" s="81"/>
      <c r="C412" s="81"/>
      <c r="D412" s="81"/>
      <c r="E412" s="81"/>
      <c r="F412" s="81"/>
      <c r="G412" s="82"/>
      <c r="H412" s="86"/>
    </row>
    <row r="413" spans="2:8" ht="21" x14ac:dyDescent="0.6">
      <c r="B413" s="81"/>
      <c r="C413" s="81"/>
      <c r="D413" s="81"/>
      <c r="E413" s="81"/>
      <c r="F413" s="81"/>
      <c r="G413" s="82"/>
      <c r="H413" s="86"/>
    </row>
    <row r="414" spans="2:8" ht="21" x14ac:dyDescent="0.6">
      <c r="B414" s="81"/>
      <c r="C414" s="81"/>
      <c r="D414" s="81"/>
      <c r="E414" s="81"/>
      <c r="F414" s="81"/>
      <c r="G414" s="82"/>
      <c r="H414" s="86"/>
    </row>
    <row r="415" spans="2:8" ht="21" x14ac:dyDescent="0.6">
      <c r="B415" s="81"/>
      <c r="C415" s="81"/>
      <c r="D415" s="81"/>
      <c r="E415" s="81"/>
      <c r="F415" s="81"/>
      <c r="G415" s="82"/>
      <c r="H415" s="86"/>
    </row>
    <row r="416" spans="2:8" ht="21" x14ac:dyDescent="0.6">
      <c r="B416" s="81"/>
      <c r="C416" s="81"/>
      <c r="D416" s="81"/>
      <c r="E416" s="81"/>
      <c r="F416" s="81"/>
      <c r="G416" s="82"/>
      <c r="H416" s="86"/>
    </row>
    <row r="417" spans="2:8" ht="21" x14ac:dyDescent="0.6">
      <c r="B417" s="81"/>
      <c r="C417" s="81"/>
      <c r="D417" s="81"/>
      <c r="E417" s="81"/>
      <c r="F417" s="81"/>
      <c r="G417" s="82"/>
      <c r="H417" s="86"/>
    </row>
    <row r="418" spans="2:8" ht="21" x14ac:dyDescent="0.6">
      <c r="B418" s="81"/>
      <c r="C418" s="81"/>
      <c r="D418" s="81"/>
      <c r="E418" s="81"/>
      <c r="F418" s="81"/>
      <c r="G418" s="82"/>
      <c r="H418" s="86"/>
    </row>
    <row r="419" spans="2:8" ht="21" x14ac:dyDescent="0.6">
      <c r="B419" s="81"/>
      <c r="C419" s="81"/>
      <c r="D419" s="81"/>
      <c r="E419" s="81"/>
      <c r="F419" s="81"/>
      <c r="G419" s="82"/>
      <c r="H419" s="86"/>
    </row>
    <row r="420" spans="2:8" ht="21" x14ac:dyDescent="0.6">
      <c r="B420" s="81"/>
      <c r="C420" s="81"/>
      <c r="D420" s="81"/>
      <c r="E420" s="81"/>
      <c r="F420" s="81"/>
      <c r="G420" s="82"/>
      <c r="H420" s="86"/>
    </row>
    <row r="421" spans="2:8" ht="21" x14ac:dyDescent="0.6">
      <c r="B421" s="81"/>
      <c r="C421" s="81"/>
      <c r="D421" s="81"/>
      <c r="E421" s="81"/>
      <c r="F421" s="81"/>
      <c r="G421" s="82"/>
      <c r="H421" s="86"/>
    </row>
    <row r="422" spans="2:8" ht="21" x14ac:dyDescent="0.6">
      <c r="B422" s="81"/>
      <c r="C422" s="81"/>
      <c r="D422" s="81"/>
      <c r="E422" s="81"/>
      <c r="F422" s="81"/>
      <c r="G422" s="82"/>
      <c r="H422" s="86"/>
    </row>
    <row r="423" spans="2:8" ht="21" x14ac:dyDescent="0.6">
      <c r="B423" s="81"/>
      <c r="C423" s="81"/>
      <c r="D423" s="81"/>
      <c r="E423" s="81"/>
      <c r="F423" s="81"/>
      <c r="G423" s="82"/>
      <c r="H423" s="86"/>
    </row>
    <row r="424" spans="2:8" ht="21" x14ac:dyDescent="0.6">
      <c r="B424" s="81"/>
      <c r="C424" s="81"/>
      <c r="D424" s="81"/>
      <c r="E424" s="81"/>
      <c r="F424" s="81"/>
      <c r="G424" s="82"/>
      <c r="H424" s="86"/>
    </row>
    <row r="425" spans="2:8" ht="21" x14ac:dyDescent="0.6">
      <c r="B425" s="81"/>
      <c r="C425" s="81"/>
      <c r="D425" s="81"/>
      <c r="E425" s="81"/>
      <c r="F425" s="81"/>
      <c r="G425" s="82"/>
      <c r="H425" s="86"/>
    </row>
    <row r="426" spans="2:8" ht="21" x14ac:dyDescent="0.6">
      <c r="B426" s="81"/>
      <c r="C426" s="81"/>
      <c r="D426" s="81"/>
      <c r="E426" s="81"/>
      <c r="F426" s="81"/>
      <c r="G426" s="82"/>
      <c r="H426" s="86"/>
    </row>
    <row r="427" spans="2:8" ht="21" x14ac:dyDescent="0.6">
      <c r="B427" s="81"/>
      <c r="C427" s="81"/>
      <c r="D427" s="81"/>
      <c r="E427" s="81"/>
      <c r="F427" s="81"/>
      <c r="G427" s="82"/>
      <c r="H427" s="86"/>
    </row>
    <row r="428" spans="2:8" ht="21" x14ac:dyDescent="0.6">
      <c r="B428" s="81"/>
      <c r="C428" s="81"/>
      <c r="D428" s="81"/>
      <c r="E428" s="81"/>
      <c r="F428" s="81"/>
      <c r="G428" s="82"/>
      <c r="H428" s="86"/>
    </row>
    <row r="429" spans="2:8" ht="21" x14ac:dyDescent="0.6">
      <c r="B429" s="81"/>
      <c r="C429" s="81"/>
      <c r="D429" s="81"/>
      <c r="E429" s="81"/>
      <c r="F429" s="81"/>
      <c r="G429" s="82"/>
      <c r="H429" s="86"/>
    </row>
    <row r="430" spans="2:8" ht="21" x14ac:dyDescent="0.6">
      <c r="B430" s="81"/>
      <c r="C430" s="81"/>
      <c r="D430" s="81"/>
      <c r="E430" s="81"/>
      <c r="F430" s="81"/>
      <c r="G430" s="82"/>
      <c r="H430" s="86"/>
    </row>
    <row r="431" spans="2:8" ht="21" x14ac:dyDescent="0.6">
      <c r="B431" s="81"/>
      <c r="C431" s="81"/>
      <c r="D431" s="81"/>
      <c r="E431" s="81"/>
      <c r="F431" s="81"/>
      <c r="G431" s="82"/>
      <c r="H431" s="86"/>
    </row>
    <row r="432" spans="2:8" ht="21" x14ac:dyDescent="0.6">
      <c r="B432" s="81"/>
      <c r="C432" s="81"/>
      <c r="D432" s="81"/>
      <c r="E432" s="81"/>
      <c r="F432" s="81"/>
      <c r="G432" s="82"/>
      <c r="H432" s="86"/>
    </row>
    <row r="433" spans="2:8" ht="21" x14ac:dyDescent="0.6">
      <c r="B433" s="81"/>
      <c r="C433" s="81"/>
      <c r="D433" s="81"/>
      <c r="E433" s="81"/>
      <c r="F433" s="81"/>
      <c r="G433" s="82"/>
      <c r="H433" s="86"/>
    </row>
    <row r="434" spans="2:8" ht="21" x14ac:dyDescent="0.6">
      <c r="B434" s="81"/>
      <c r="C434" s="81"/>
      <c r="D434" s="81"/>
      <c r="E434" s="81"/>
      <c r="F434" s="81"/>
      <c r="G434" s="82"/>
      <c r="H434" s="86"/>
    </row>
    <row r="435" spans="2:8" ht="21" x14ac:dyDescent="0.6">
      <c r="B435" s="81"/>
      <c r="C435" s="81"/>
      <c r="D435" s="81"/>
      <c r="E435" s="81"/>
      <c r="F435" s="81"/>
      <c r="G435" s="82"/>
      <c r="H435" s="86"/>
    </row>
    <row r="436" spans="2:8" ht="21" x14ac:dyDescent="0.6">
      <c r="B436" s="81"/>
      <c r="C436" s="81"/>
      <c r="D436" s="81"/>
      <c r="E436" s="81"/>
      <c r="F436" s="81"/>
      <c r="G436" s="82"/>
      <c r="H436" s="86"/>
    </row>
    <row r="437" spans="2:8" ht="21" x14ac:dyDescent="0.6">
      <c r="B437" s="81"/>
      <c r="C437" s="81"/>
      <c r="D437" s="81"/>
      <c r="E437" s="81"/>
      <c r="F437" s="81"/>
      <c r="G437" s="82"/>
      <c r="H437" s="86"/>
    </row>
    <row r="438" spans="2:8" ht="21" x14ac:dyDescent="0.6">
      <c r="B438" s="81"/>
      <c r="C438" s="81"/>
      <c r="D438" s="81"/>
      <c r="E438" s="81"/>
      <c r="F438" s="81"/>
      <c r="G438" s="82"/>
      <c r="H438" s="86"/>
    </row>
    <row r="439" spans="2:8" ht="21" x14ac:dyDescent="0.6">
      <c r="B439" s="81"/>
      <c r="C439" s="81"/>
      <c r="D439" s="81"/>
      <c r="E439" s="81"/>
      <c r="F439" s="81"/>
      <c r="G439" s="82"/>
      <c r="H439" s="86"/>
    </row>
    <row r="440" spans="2:8" ht="21" x14ac:dyDescent="0.6">
      <c r="B440" s="81"/>
      <c r="C440" s="81"/>
      <c r="D440" s="81"/>
      <c r="E440" s="81"/>
      <c r="F440" s="81"/>
      <c r="G440" s="82"/>
      <c r="H440" s="86"/>
    </row>
    <row r="441" spans="2:8" ht="21" x14ac:dyDescent="0.6">
      <c r="B441" s="81"/>
      <c r="C441" s="81"/>
      <c r="D441" s="81"/>
      <c r="E441" s="81"/>
      <c r="F441" s="81"/>
      <c r="G441" s="82"/>
      <c r="H441" s="86"/>
    </row>
    <row r="442" spans="2:8" ht="21" x14ac:dyDescent="0.6">
      <c r="B442" s="81"/>
      <c r="C442" s="81"/>
      <c r="D442" s="81"/>
      <c r="E442" s="81"/>
      <c r="F442" s="81"/>
      <c r="G442" s="82"/>
      <c r="H442" s="86"/>
    </row>
    <row r="443" spans="2:8" ht="21" x14ac:dyDescent="0.6">
      <c r="B443" s="81"/>
      <c r="C443" s="81"/>
      <c r="D443" s="81"/>
      <c r="E443" s="81"/>
      <c r="F443" s="81"/>
      <c r="G443" s="82"/>
      <c r="H443" s="86"/>
    </row>
    <row r="444" spans="2:8" ht="21" x14ac:dyDescent="0.6">
      <c r="B444" s="81"/>
      <c r="C444" s="81"/>
      <c r="D444" s="81"/>
      <c r="E444" s="81"/>
      <c r="F444" s="81"/>
      <c r="G444" s="82"/>
      <c r="H444" s="86"/>
    </row>
    <row r="445" spans="2:8" ht="21" x14ac:dyDescent="0.6">
      <c r="B445" s="81"/>
      <c r="C445" s="81"/>
      <c r="D445" s="81"/>
      <c r="E445" s="81"/>
      <c r="F445" s="81"/>
      <c r="G445" s="82"/>
      <c r="H445" s="86"/>
    </row>
    <row r="446" spans="2:8" ht="21" x14ac:dyDescent="0.6">
      <c r="B446" s="81"/>
      <c r="C446" s="81"/>
      <c r="D446" s="81"/>
      <c r="E446" s="81"/>
      <c r="F446" s="81"/>
      <c r="G446" s="82"/>
      <c r="H446" s="86"/>
    </row>
    <row r="447" spans="2:8" ht="21" x14ac:dyDescent="0.6">
      <c r="B447" s="81"/>
      <c r="C447" s="81"/>
      <c r="D447" s="81"/>
      <c r="E447" s="81"/>
      <c r="F447" s="81"/>
      <c r="G447" s="82"/>
      <c r="H447" s="86"/>
    </row>
    <row r="448" spans="2:8" ht="21" x14ac:dyDescent="0.6">
      <c r="B448" s="81"/>
      <c r="C448" s="81"/>
      <c r="D448" s="81"/>
      <c r="E448" s="81"/>
      <c r="F448" s="81"/>
      <c r="G448" s="82"/>
      <c r="H448" s="86"/>
    </row>
    <row r="449" spans="2:8" ht="21" x14ac:dyDescent="0.6">
      <c r="B449" s="81"/>
      <c r="C449" s="81"/>
      <c r="D449" s="81"/>
      <c r="E449" s="81"/>
      <c r="F449" s="81"/>
      <c r="G449" s="82"/>
      <c r="H449" s="86"/>
    </row>
    <row r="450" spans="2:8" ht="21" x14ac:dyDescent="0.6">
      <c r="B450" s="81"/>
      <c r="C450" s="81"/>
      <c r="D450" s="81"/>
      <c r="E450" s="81"/>
      <c r="F450" s="81"/>
      <c r="G450" s="82"/>
      <c r="H450" s="86"/>
    </row>
    <row r="451" spans="2:8" ht="21" x14ac:dyDescent="0.6">
      <c r="B451" s="81"/>
      <c r="C451" s="81"/>
      <c r="D451" s="81"/>
      <c r="E451" s="81"/>
      <c r="F451" s="81"/>
      <c r="G451" s="82"/>
      <c r="H451" s="86"/>
    </row>
    <row r="452" spans="2:8" ht="21" x14ac:dyDescent="0.6">
      <c r="B452" s="81"/>
      <c r="C452" s="81"/>
      <c r="D452" s="81"/>
      <c r="E452" s="81"/>
      <c r="F452" s="81"/>
      <c r="G452" s="82"/>
      <c r="H452" s="86"/>
    </row>
    <row r="453" spans="2:8" ht="21" x14ac:dyDescent="0.6">
      <c r="B453" s="81"/>
      <c r="C453" s="81"/>
      <c r="D453" s="81"/>
      <c r="E453" s="81"/>
      <c r="F453" s="81"/>
      <c r="G453" s="82"/>
      <c r="H453" s="86"/>
    </row>
    <row r="454" spans="2:8" ht="21" x14ac:dyDescent="0.6">
      <c r="B454" s="81"/>
      <c r="C454" s="81"/>
      <c r="D454" s="81"/>
      <c r="E454" s="81"/>
      <c r="F454" s="81"/>
      <c r="G454" s="82"/>
      <c r="H454" s="86"/>
    </row>
    <row r="455" spans="2:8" ht="21" x14ac:dyDescent="0.6">
      <c r="B455" s="81"/>
      <c r="C455" s="81"/>
      <c r="D455" s="81"/>
      <c r="E455" s="81"/>
      <c r="F455" s="81"/>
      <c r="G455" s="82"/>
      <c r="H455" s="86"/>
    </row>
    <row r="456" spans="2:8" ht="21" x14ac:dyDescent="0.6">
      <c r="B456" s="81"/>
      <c r="C456" s="81"/>
      <c r="D456" s="81"/>
      <c r="E456" s="81"/>
      <c r="F456" s="81"/>
      <c r="G456" s="82"/>
      <c r="H456" s="86"/>
    </row>
    <row r="457" spans="2:8" ht="21" x14ac:dyDescent="0.6">
      <c r="B457" s="81"/>
      <c r="C457" s="81"/>
      <c r="D457" s="81"/>
      <c r="E457" s="81"/>
      <c r="F457" s="81"/>
      <c r="G457" s="82"/>
      <c r="H457" s="86"/>
    </row>
    <row r="458" spans="2:8" ht="21" x14ac:dyDescent="0.6">
      <c r="B458" s="81"/>
      <c r="C458" s="81"/>
      <c r="D458" s="81"/>
      <c r="E458" s="81"/>
      <c r="F458" s="81"/>
      <c r="G458" s="82"/>
      <c r="H458" s="86"/>
    </row>
    <row r="459" spans="2:8" ht="21" x14ac:dyDescent="0.6">
      <c r="B459" s="81"/>
      <c r="C459" s="81"/>
      <c r="D459" s="81"/>
      <c r="E459" s="81"/>
      <c r="F459" s="81"/>
      <c r="G459" s="82"/>
      <c r="H459" s="86"/>
    </row>
    <row r="460" spans="2:8" ht="21" x14ac:dyDescent="0.6">
      <c r="B460" s="81"/>
      <c r="C460" s="81"/>
      <c r="D460" s="81"/>
      <c r="E460" s="81"/>
      <c r="F460" s="81"/>
      <c r="G460" s="82"/>
      <c r="H460" s="86"/>
    </row>
    <row r="461" spans="2:8" ht="21" x14ac:dyDescent="0.6">
      <c r="B461" s="81"/>
      <c r="C461" s="81"/>
      <c r="D461" s="81"/>
      <c r="E461" s="81"/>
      <c r="F461" s="81"/>
      <c r="G461" s="82"/>
      <c r="H461" s="86"/>
    </row>
    <row r="462" spans="2:8" ht="21" x14ac:dyDescent="0.6">
      <c r="B462" s="81"/>
      <c r="C462" s="81"/>
      <c r="D462" s="81"/>
      <c r="E462" s="81"/>
      <c r="F462" s="81"/>
      <c r="G462" s="82"/>
      <c r="H462" s="86"/>
    </row>
    <row r="463" spans="2:8" ht="21" x14ac:dyDescent="0.6">
      <c r="B463" s="81"/>
      <c r="C463" s="81"/>
      <c r="D463" s="81"/>
      <c r="E463" s="81"/>
      <c r="F463" s="81"/>
      <c r="G463" s="82"/>
      <c r="H463" s="86"/>
    </row>
    <row r="464" spans="2:8" ht="21" x14ac:dyDescent="0.6">
      <c r="B464" s="81"/>
      <c r="C464" s="81"/>
      <c r="D464" s="81"/>
      <c r="E464" s="81"/>
      <c r="F464" s="81"/>
      <c r="G464" s="82"/>
      <c r="H464" s="86"/>
    </row>
    <row r="465" spans="2:8" ht="21" x14ac:dyDescent="0.6">
      <c r="B465" s="81"/>
      <c r="C465" s="81"/>
      <c r="D465" s="81"/>
      <c r="E465" s="81"/>
      <c r="F465" s="81"/>
      <c r="G465" s="82"/>
      <c r="H465" s="86"/>
    </row>
    <row r="466" spans="2:8" ht="21" x14ac:dyDescent="0.6">
      <c r="B466" s="81"/>
      <c r="C466" s="81"/>
      <c r="D466" s="81"/>
      <c r="E466" s="81"/>
      <c r="F466" s="81"/>
      <c r="G466" s="82"/>
      <c r="H466" s="86"/>
    </row>
    <row r="467" spans="2:8" ht="21" x14ac:dyDescent="0.6">
      <c r="B467" s="81"/>
      <c r="C467" s="81"/>
      <c r="D467" s="81"/>
      <c r="E467" s="81"/>
      <c r="F467" s="81"/>
      <c r="G467" s="82"/>
      <c r="H467" s="86"/>
    </row>
    <row r="468" spans="2:8" ht="21" x14ac:dyDescent="0.6">
      <c r="B468" s="81"/>
      <c r="C468" s="81"/>
      <c r="D468" s="81"/>
      <c r="E468" s="81"/>
      <c r="F468" s="81"/>
      <c r="G468" s="82"/>
      <c r="H468" s="86"/>
    </row>
    <row r="469" spans="2:8" ht="21" x14ac:dyDescent="0.6">
      <c r="B469" s="81"/>
      <c r="C469" s="81"/>
      <c r="D469" s="81"/>
      <c r="E469" s="81"/>
      <c r="F469" s="81"/>
      <c r="G469" s="82"/>
      <c r="H469" s="86"/>
    </row>
    <row r="470" spans="2:8" ht="21" x14ac:dyDescent="0.6">
      <c r="B470" s="81"/>
      <c r="C470" s="81"/>
      <c r="D470" s="81"/>
      <c r="E470" s="81"/>
      <c r="F470" s="81"/>
      <c r="G470" s="82"/>
      <c r="H470" s="86"/>
    </row>
    <row r="471" spans="2:8" ht="21" x14ac:dyDescent="0.6">
      <c r="B471" s="81"/>
      <c r="C471" s="81"/>
      <c r="D471" s="81"/>
      <c r="E471" s="81"/>
      <c r="F471" s="81"/>
      <c r="G471" s="82"/>
      <c r="H471" s="86"/>
    </row>
    <row r="472" spans="2:8" ht="21" x14ac:dyDescent="0.6">
      <c r="B472" s="81"/>
      <c r="C472" s="81"/>
      <c r="D472" s="81"/>
      <c r="E472" s="81"/>
      <c r="F472" s="81"/>
      <c r="G472" s="82"/>
      <c r="H472" s="86"/>
    </row>
    <row r="473" spans="2:8" ht="21" x14ac:dyDescent="0.6">
      <c r="B473" s="81"/>
      <c r="C473" s="81"/>
      <c r="D473" s="81"/>
      <c r="E473" s="81"/>
      <c r="F473" s="81"/>
      <c r="G473" s="82"/>
      <c r="H473" s="86"/>
    </row>
    <row r="474" spans="2:8" ht="21" x14ac:dyDescent="0.6">
      <c r="B474" s="81"/>
      <c r="C474" s="81"/>
      <c r="D474" s="81"/>
      <c r="E474" s="81"/>
      <c r="F474" s="81"/>
      <c r="G474" s="82"/>
      <c r="H474" s="86"/>
    </row>
    <row r="475" spans="2:8" ht="21" x14ac:dyDescent="0.6">
      <c r="B475" s="81"/>
      <c r="C475" s="81"/>
      <c r="D475" s="81"/>
      <c r="E475" s="81"/>
      <c r="F475" s="81"/>
      <c r="G475" s="82"/>
      <c r="H475" s="86"/>
    </row>
    <row r="476" spans="2:8" ht="21" x14ac:dyDescent="0.6">
      <c r="B476" s="81"/>
      <c r="C476" s="81"/>
      <c r="D476" s="81"/>
      <c r="E476" s="81"/>
      <c r="F476" s="81"/>
      <c r="G476" s="82"/>
      <c r="H476" s="86"/>
    </row>
    <row r="477" spans="2:8" ht="21" x14ac:dyDescent="0.6">
      <c r="B477" s="81"/>
      <c r="C477" s="81"/>
      <c r="D477" s="81"/>
      <c r="E477" s="81"/>
      <c r="F477" s="81"/>
      <c r="G477" s="82"/>
      <c r="H477" s="86"/>
    </row>
    <row r="478" spans="2:8" ht="21" x14ac:dyDescent="0.6">
      <c r="B478" s="81"/>
      <c r="C478" s="81"/>
      <c r="D478" s="81"/>
      <c r="E478" s="81"/>
      <c r="F478" s="81"/>
      <c r="G478" s="82"/>
      <c r="H478" s="86"/>
    </row>
    <row r="479" spans="2:8" ht="21" x14ac:dyDescent="0.6">
      <c r="B479" s="81"/>
      <c r="C479" s="81"/>
      <c r="D479" s="81"/>
      <c r="E479" s="81"/>
      <c r="F479" s="81"/>
      <c r="G479" s="82"/>
      <c r="H479" s="86"/>
    </row>
    <row r="480" spans="2:8" ht="21" x14ac:dyDescent="0.6">
      <c r="B480" s="81"/>
      <c r="C480" s="81"/>
      <c r="D480" s="81"/>
      <c r="E480" s="81"/>
      <c r="F480" s="81"/>
      <c r="G480" s="82"/>
      <c r="H480" s="86"/>
    </row>
    <row r="481" spans="2:8" ht="21" x14ac:dyDescent="0.6">
      <c r="B481" s="81"/>
      <c r="C481" s="81"/>
      <c r="D481" s="81"/>
      <c r="E481" s="81"/>
      <c r="F481" s="81"/>
      <c r="G481" s="82"/>
      <c r="H481" s="86"/>
    </row>
    <row r="482" spans="2:8" ht="21" x14ac:dyDescent="0.6">
      <c r="B482" s="81"/>
      <c r="C482" s="81"/>
      <c r="D482" s="81"/>
      <c r="E482" s="81"/>
      <c r="F482" s="81"/>
      <c r="G482" s="82"/>
      <c r="H482" s="86"/>
    </row>
    <row r="483" spans="2:8" ht="21" x14ac:dyDescent="0.6">
      <c r="B483" s="81"/>
      <c r="C483" s="81"/>
      <c r="D483" s="81"/>
      <c r="E483" s="81"/>
      <c r="F483" s="81"/>
      <c r="G483" s="82"/>
      <c r="H483" s="86"/>
    </row>
    <row r="484" spans="2:8" ht="21" x14ac:dyDescent="0.6">
      <c r="B484" s="81"/>
      <c r="C484" s="81"/>
      <c r="D484" s="81"/>
      <c r="E484" s="81"/>
      <c r="F484" s="81"/>
      <c r="G484" s="82"/>
      <c r="H484" s="86"/>
    </row>
    <row r="485" spans="2:8" ht="21" x14ac:dyDescent="0.6">
      <c r="B485" s="81"/>
      <c r="C485" s="81"/>
      <c r="D485" s="81"/>
      <c r="E485" s="81"/>
      <c r="F485" s="81"/>
      <c r="G485" s="82"/>
      <c r="H485" s="86"/>
    </row>
    <row r="486" spans="2:8" ht="21" x14ac:dyDescent="0.6">
      <c r="B486" s="81"/>
      <c r="C486" s="81"/>
      <c r="D486" s="81"/>
      <c r="E486" s="81"/>
      <c r="F486" s="81"/>
      <c r="G486" s="82"/>
      <c r="H486" s="86"/>
    </row>
    <row r="487" spans="2:8" ht="21" x14ac:dyDescent="0.6">
      <c r="B487" s="81"/>
      <c r="C487" s="81"/>
      <c r="D487" s="81"/>
      <c r="E487" s="81"/>
      <c r="F487" s="81"/>
      <c r="G487" s="82"/>
      <c r="H487" s="86"/>
    </row>
    <row r="488" spans="2:8" ht="21" x14ac:dyDescent="0.6">
      <c r="B488" s="81"/>
      <c r="C488" s="81"/>
      <c r="D488" s="81"/>
      <c r="E488" s="81"/>
      <c r="F488" s="81"/>
      <c r="G488" s="82"/>
      <c r="H488" s="86"/>
    </row>
    <row r="489" spans="2:8" ht="21" x14ac:dyDescent="0.6">
      <c r="B489" s="81"/>
      <c r="C489" s="81"/>
      <c r="D489" s="81"/>
      <c r="E489" s="81"/>
      <c r="F489" s="81"/>
      <c r="G489" s="82"/>
      <c r="H489" s="86"/>
    </row>
    <row r="490" spans="2:8" ht="21" x14ac:dyDescent="0.6">
      <c r="B490" s="81"/>
      <c r="C490" s="81"/>
      <c r="D490" s="81"/>
      <c r="E490" s="81"/>
      <c r="F490" s="81"/>
      <c r="G490" s="82"/>
      <c r="H490" s="86"/>
    </row>
    <row r="491" spans="2:8" ht="21" x14ac:dyDescent="0.6">
      <c r="B491" s="81"/>
      <c r="C491" s="81"/>
      <c r="D491" s="81"/>
      <c r="E491" s="81"/>
      <c r="F491" s="81"/>
      <c r="G491" s="82"/>
      <c r="H491" s="86"/>
    </row>
    <row r="492" spans="2:8" ht="21" x14ac:dyDescent="0.6">
      <c r="B492" s="81"/>
      <c r="C492" s="81"/>
      <c r="D492" s="81"/>
      <c r="E492" s="81"/>
      <c r="F492" s="81"/>
      <c r="G492" s="82"/>
      <c r="H492" s="86"/>
    </row>
    <row r="493" spans="2:8" ht="21" x14ac:dyDescent="0.6">
      <c r="B493" s="81"/>
      <c r="C493" s="81"/>
      <c r="D493" s="81"/>
      <c r="E493" s="81"/>
      <c r="F493" s="81"/>
      <c r="G493" s="82"/>
      <c r="H493" s="86"/>
    </row>
    <row r="494" spans="2:8" ht="21" x14ac:dyDescent="0.6">
      <c r="B494" s="81"/>
      <c r="C494" s="81"/>
      <c r="D494" s="81"/>
      <c r="E494" s="81"/>
      <c r="F494" s="81"/>
      <c r="G494" s="82"/>
      <c r="H494" s="86"/>
    </row>
    <row r="495" spans="2:8" ht="21" x14ac:dyDescent="0.6">
      <c r="B495" s="81"/>
      <c r="C495" s="81"/>
      <c r="D495" s="81"/>
      <c r="E495" s="81"/>
      <c r="F495" s="81"/>
      <c r="G495" s="82"/>
      <c r="H495" s="86"/>
    </row>
    <row r="496" spans="2:8" ht="21" x14ac:dyDescent="0.6">
      <c r="B496" s="81"/>
      <c r="C496" s="81"/>
      <c r="D496" s="81"/>
      <c r="E496" s="81"/>
      <c r="F496" s="81"/>
      <c r="G496" s="82"/>
      <c r="H496" s="86"/>
    </row>
    <row r="497" spans="2:8" ht="21" x14ac:dyDescent="0.6">
      <c r="B497" s="81"/>
      <c r="C497" s="81"/>
      <c r="D497" s="81"/>
      <c r="E497" s="81"/>
      <c r="F497" s="81"/>
      <c r="G497" s="82"/>
      <c r="H497" s="86"/>
    </row>
    <row r="498" spans="2:8" ht="21" x14ac:dyDescent="0.6">
      <c r="B498" s="81"/>
      <c r="C498" s="81"/>
      <c r="D498" s="81"/>
      <c r="E498" s="81"/>
      <c r="F498" s="81"/>
      <c r="G498" s="82"/>
      <c r="H498" s="86"/>
    </row>
    <row r="499" spans="2:8" ht="21" x14ac:dyDescent="0.6">
      <c r="B499" s="81"/>
      <c r="C499" s="81"/>
      <c r="D499" s="81"/>
      <c r="E499" s="81"/>
      <c r="F499" s="81"/>
      <c r="G499" s="82"/>
      <c r="H499" s="86"/>
    </row>
    <row r="500" spans="2:8" ht="21" x14ac:dyDescent="0.6">
      <c r="B500" s="81"/>
      <c r="C500" s="81"/>
      <c r="D500" s="81"/>
      <c r="E500" s="81"/>
      <c r="F500" s="81"/>
      <c r="G500" s="82"/>
      <c r="H500" s="86"/>
    </row>
    <row r="1022" spans="10:10" ht="14.25" customHeight="1" x14ac:dyDescent="0.25">
      <c r="J1022" s="191"/>
    </row>
    <row r="1023" spans="10:10" ht="14.25" customHeight="1" x14ac:dyDescent="0.25"/>
  </sheetData>
  <mergeCells count="7">
    <mergeCell ref="B27:F27"/>
    <mergeCell ref="B28:F28"/>
    <mergeCell ref="B2:H2"/>
    <mergeCell ref="B8:H8"/>
    <mergeCell ref="B16:H16"/>
    <mergeCell ref="B22:H22"/>
    <mergeCell ref="B26:F26"/>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14EF6-FD7E-482B-A38D-F0B8166EB183}">
  <sheetPr codeName="Sheet3"/>
  <dimension ref="A1:F34"/>
  <sheetViews>
    <sheetView topLeftCell="A24" zoomScale="85" zoomScaleNormal="85" zoomScaleSheetLayoutView="55" zoomScalePageLayoutView="55" workbookViewId="0">
      <selection activeCell="B17" sqref="B17"/>
    </sheetView>
  </sheetViews>
  <sheetFormatPr defaultColWidth="9" defaultRowHeight="13.8" x14ac:dyDescent="0.25"/>
  <cols>
    <col min="1" max="1" width="5.5" style="53" customWidth="1"/>
    <col min="2" max="2" width="14.3984375" style="53" customWidth="1"/>
    <col min="3" max="3" width="21.8984375" style="53" customWidth="1"/>
    <col min="4" max="4" width="13.8984375" style="53" customWidth="1"/>
    <col min="5" max="5" width="12.5" style="54" customWidth="1"/>
    <col min="6" max="6" width="15.19921875" style="53" customWidth="1"/>
    <col min="7" max="7" width="29.09765625" style="53" bestFit="1" customWidth="1"/>
    <col min="8" max="8" width="20.09765625" style="53" customWidth="1"/>
    <col min="9" max="9" width="12.09765625" style="53" customWidth="1"/>
    <col min="10" max="10" width="12.59765625" style="53" customWidth="1"/>
    <col min="11" max="16384" width="9" style="53"/>
  </cols>
  <sheetData>
    <row r="1" spans="1:6" s="1" customFormat="1" ht="25.5" customHeight="1" x14ac:dyDescent="0.4">
      <c r="A1" s="250" t="s">
        <v>147</v>
      </c>
      <c r="B1" s="250"/>
      <c r="C1" s="250"/>
      <c r="D1" s="250"/>
      <c r="E1" s="250"/>
      <c r="F1" s="250"/>
    </row>
    <row r="2" spans="1:6" s="1" customFormat="1" ht="23.4" x14ac:dyDescent="0.4">
      <c r="A2" s="250" t="s">
        <v>148</v>
      </c>
      <c r="B2" s="250"/>
      <c r="C2" s="250"/>
      <c r="D2" s="250"/>
      <c r="E2" s="250"/>
      <c r="F2" s="250"/>
    </row>
    <row r="3" spans="1:6" s="1" customFormat="1" ht="21" x14ac:dyDescent="0.4">
      <c r="A3" s="65" t="s">
        <v>45</v>
      </c>
      <c r="B3" s="225" t="str">
        <f>IF(หน้าหลัก!B2="","",หน้าหลัก!B2&amp;" ")
&amp;IF(หน้าหลัก!B4="","","บ้านเลขที่ "&amp;หน้าหลัก!B4&amp;" ")
&amp;IF(หน้าหลัก!C4="","","หมู่ "&amp;หน้าหลัก!C4&amp;" ")
&amp;IF(หน้าหลัก!D4="","","ซอย "&amp;หน้าหลัก!D4&amp;"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
&amp;IF(หน้าหลัก!I4="","",หน้าหลัก!I4)</f>
        <v>แขวงทางหลวงสงขลาที่ 1 หน้าศูนย์กระจายสินค้า (จุดที่ 2) บ้านเลขที่ หน้าศูนย์กระจายสินค้า (จุดที่ 2) ตำบลท่าช้าง อำเภอบางกล่ำ จังหวัดสงขลา 90110</v>
      </c>
      <c r="C3" s="225"/>
      <c r="D3" s="225"/>
      <c r="E3" s="225"/>
      <c r="F3" s="225"/>
    </row>
    <row r="4" spans="1:6" s="1" customFormat="1" ht="21" x14ac:dyDescent="0.4">
      <c r="B4" s="249"/>
      <c r="C4" s="249"/>
      <c r="D4" s="249"/>
      <c r="E4" s="249"/>
      <c r="F4" s="249"/>
    </row>
    <row r="5" spans="1:6" s="1" customFormat="1" ht="21" x14ac:dyDescent="0.4">
      <c r="A5" s="251" t="s">
        <v>2</v>
      </c>
      <c r="B5" s="253" t="s">
        <v>1</v>
      </c>
      <c r="C5" s="254"/>
      <c r="D5" s="254"/>
      <c r="E5" s="255"/>
      <c r="F5" s="20" t="s">
        <v>16</v>
      </c>
    </row>
    <row r="6" spans="1:6" s="1" customFormat="1" ht="21" x14ac:dyDescent="0.4">
      <c r="A6" s="252"/>
      <c r="B6" s="256"/>
      <c r="C6" s="257"/>
      <c r="D6" s="257"/>
      <c r="E6" s="258"/>
      <c r="F6" s="21" t="s">
        <v>17</v>
      </c>
    </row>
    <row r="7" spans="1:6" s="1" customFormat="1" ht="21" x14ac:dyDescent="0.4">
      <c r="A7" s="20">
        <v>1</v>
      </c>
      <c r="B7" s="22" t="s">
        <v>18</v>
      </c>
      <c r="C7" s="22"/>
      <c r="D7" s="3" t="s">
        <v>19</v>
      </c>
      <c r="E7" s="23" t="s">
        <v>20</v>
      </c>
      <c r="F7" s="24"/>
    </row>
    <row r="8" spans="1:6" s="1" customFormat="1" ht="21" x14ac:dyDescent="0.4">
      <c r="A8" s="25"/>
      <c r="B8" s="12" t="s">
        <v>21</v>
      </c>
      <c r="C8" s="12"/>
      <c r="D8" s="17"/>
      <c r="E8" s="26"/>
      <c r="F8" s="27"/>
    </row>
    <row r="9" spans="1:6" s="1" customFormat="1" ht="21" x14ac:dyDescent="0.4">
      <c r="A9" s="25"/>
      <c r="B9" s="12" t="s">
        <v>107</v>
      </c>
      <c r="C9" s="12"/>
      <c r="D9" s="3">
        <v>1</v>
      </c>
      <c r="E9" s="28">
        <v>21500</v>
      </c>
      <c r="F9" s="29">
        <f>D9*E9</f>
        <v>21500</v>
      </c>
    </row>
    <row r="10" spans="1:6" s="1" customFormat="1" ht="21" x14ac:dyDescent="0.4">
      <c r="A10" s="25"/>
      <c r="B10" s="12" t="s">
        <v>22</v>
      </c>
      <c r="C10" s="12"/>
      <c r="D10" s="12"/>
      <c r="E10" s="30"/>
      <c r="F10" s="31"/>
    </row>
    <row r="11" spans="1:6" s="1" customFormat="1" ht="21" x14ac:dyDescent="0.4">
      <c r="A11" s="21"/>
      <c r="B11" s="32" t="s">
        <v>107</v>
      </c>
      <c r="C11" s="32"/>
      <c r="D11" s="24"/>
      <c r="E11" s="33">
        <v>18000</v>
      </c>
      <c r="F11" s="29">
        <f>D11*E11</f>
        <v>0</v>
      </c>
    </row>
    <row r="12" spans="1:6" s="1" customFormat="1" ht="21" x14ac:dyDescent="0.4">
      <c r="A12" s="20">
        <v>2</v>
      </c>
      <c r="B12" s="34" t="s">
        <v>23</v>
      </c>
      <c r="C12" s="12"/>
      <c r="D12" s="3" t="s">
        <v>19</v>
      </c>
      <c r="E12" s="23" t="s">
        <v>20</v>
      </c>
      <c r="F12" s="35"/>
    </row>
    <row r="13" spans="1:6" s="1" customFormat="1" ht="21" x14ac:dyDescent="0.4">
      <c r="A13" s="25"/>
      <c r="B13" s="36" t="s">
        <v>108</v>
      </c>
      <c r="C13" s="12"/>
      <c r="D13" s="5"/>
      <c r="E13" s="33">
        <v>2600</v>
      </c>
      <c r="F13" s="29">
        <f>D13*E13</f>
        <v>0</v>
      </c>
    </row>
    <row r="14" spans="1:6" s="1" customFormat="1" ht="21" x14ac:dyDescent="0.4">
      <c r="A14" s="25"/>
      <c r="B14" s="36" t="s">
        <v>109</v>
      </c>
      <c r="C14" s="12"/>
      <c r="D14" s="3">
        <v>1</v>
      </c>
      <c r="E14" s="33">
        <v>7000</v>
      </c>
      <c r="F14" s="29">
        <f>D14*E14</f>
        <v>7000</v>
      </c>
    </row>
    <row r="15" spans="1:6" s="1" customFormat="1" ht="21" x14ac:dyDescent="0.4">
      <c r="A15" s="25"/>
      <c r="B15" s="36" t="s">
        <v>110</v>
      </c>
      <c r="C15" s="12"/>
      <c r="D15" s="5"/>
      <c r="E15" s="33">
        <v>10000</v>
      </c>
      <c r="F15" s="29">
        <f>D15*E15</f>
        <v>0</v>
      </c>
    </row>
    <row r="16" spans="1:6" s="1" customFormat="1" ht="21" x14ac:dyDescent="0.4">
      <c r="A16" s="21"/>
      <c r="B16" s="37" t="s">
        <v>111</v>
      </c>
      <c r="C16" s="32"/>
      <c r="D16" s="5"/>
      <c r="E16" s="33">
        <v>2000</v>
      </c>
      <c r="F16" s="29">
        <f>D16*E16</f>
        <v>0</v>
      </c>
    </row>
    <row r="17" spans="1:6" s="1" customFormat="1" ht="21" x14ac:dyDescent="0.4">
      <c r="A17" s="3">
        <v>3</v>
      </c>
      <c r="B17" s="38" t="s">
        <v>24</v>
      </c>
      <c r="C17" s="38"/>
      <c r="D17" s="38"/>
      <c r="E17" s="39"/>
      <c r="F17" s="40">
        <f>(F9+F14)*0.05</f>
        <v>1425</v>
      </c>
    </row>
    <row r="18" spans="1:6" s="1" customFormat="1" ht="21" x14ac:dyDescent="0.4">
      <c r="A18" s="3">
        <v>4</v>
      </c>
      <c r="B18" s="38" t="s">
        <v>25</v>
      </c>
      <c r="C18" s="38"/>
      <c r="D18" s="38"/>
      <c r="E18" s="39"/>
      <c r="F18" s="41">
        <f>(F9+F14+F17)*0.075</f>
        <v>2244.375</v>
      </c>
    </row>
    <row r="19" spans="1:6" s="1" customFormat="1" ht="21" x14ac:dyDescent="0.4">
      <c r="A19" s="25">
        <v>5</v>
      </c>
      <c r="B19" s="12" t="s">
        <v>26</v>
      </c>
      <c r="C19" s="12"/>
      <c r="D19" s="3" t="s">
        <v>19</v>
      </c>
      <c r="E19" s="23" t="s">
        <v>20</v>
      </c>
      <c r="F19" s="24"/>
    </row>
    <row r="20" spans="1:6" s="1" customFormat="1" ht="21" x14ac:dyDescent="0.4">
      <c r="A20" s="25"/>
      <c r="B20" s="12" t="s">
        <v>112</v>
      </c>
      <c r="C20" s="12"/>
      <c r="D20" s="3">
        <v>1</v>
      </c>
      <c r="E20" s="33">
        <v>2000</v>
      </c>
      <c r="F20" s="29">
        <f>D20*E20</f>
        <v>2000</v>
      </c>
    </row>
    <row r="21" spans="1:6" s="1" customFormat="1" ht="21" x14ac:dyDescent="0.4">
      <c r="A21" s="21"/>
      <c r="B21" s="32" t="s">
        <v>113</v>
      </c>
      <c r="C21" s="32"/>
      <c r="D21" s="5"/>
      <c r="E21" s="33">
        <v>4500</v>
      </c>
      <c r="F21" s="29">
        <f>D21*E21</f>
        <v>0</v>
      </c>
    </row>
    <row r="22" spans="1:6" s="1" customFormat="1" ht="21" x14ac:dyDescent="0.4">
      <c r="A22" s="25">
        <v>6</v>
      </c>
      <c r="B22" s="12" t="s">
        <v>27</v>
      </c>
      <c r="C22" s="12"/>
      <c r="D22" s="42" t="s">
        <v>130</v>
      </c>
      <c r="F22" s="23"/>
    </row>
    <row r="23" spans="1:6" s="1" customFormat="1" ht="21" x14ac:dyDescent="0.4">
      <c r="A23" s="25"/>
      <c r="B23" s="12" t="s">
        <v>114</v>
      </c>
      <c r="C23" s="12"/>
      <c r="D23" s="5"/>
      <c r="E23" s="43"/>
      <c r="F23" s="41">
        <f>D23*E23*1</f>
        <v>0</v>
      </c>
    </row>
    <row r="24" spans="1:6" s="1" customFormat="1" ht="21" x14ac:dyDescent="0.4">
      <c r="A24" s="8"/>
      <c r="B24" s="12" t="s">
        <v>115</v>
      </c>
      <c r="C24" s="12"/>
      <c r="D24" s="44">
        <v>24</v>
      </c>
      <c r="E24" s="45">
        <v>40.799999999999997</v>
      </c>
      <c r="F24" s="41">
        <f>D24*E24*2</f>
        <v>1958.3999999999999</v>
      </c>
    </row>
    <row r="25" spans="1:6" s="1" customFormat="1" ht="21" x14ac:dyDescent="0.4">
      <c r="A25" s="8"/>
      <c r="B25" s="12" t="s">
        <v>28</v>
      </c>
      <c r="C25" s="12"/>
      <c r="D25" s="17" t="s">
        <v>29</v>
      </c>
      <c r="E25" s="30"/>
      <c r="F25" s="46"/>
    </row>
    <row r="26" spans="1:6" s="1" customFormat="1" ht="21" x14ac:dyDescent="0.4">
      <c r="A26" s="8"/>
      <c r="B26" s="12" t="s">
        <v>116</v>
      </c>
      <c r="C26" s="12"/>
      <c r="D26" s="5"/>
      <c r="E26" s="43"/>
      <c r="F26" s="41">
        <f>D26*E26*2.2</f>
        <v>0</v>
      </c>
    </row>
    <row r="27" spans="1:6" s="1" customFormat="1" ht="21" x14ac:dyDescent="0.4">
      <c r="A27" s="8"/>
      <c r="B27" s="12" t="s">
        <v>30</v>
      </c>
      <c r="C27" s="12"/>
      <c r="D27" s="2"/>
      <c r="E27" s="47"/>
      <c r="F27" s="46"/>
    </row>
    <row r="28" spans="1:6" s="1" customFormat="1" ht="21" x14ac:dyDescent="0.4">
      <c r="A28" s="4"/>
      <c r="B28" s="12" t="s">
        <v>117</v>
      </c>
      <c r="C28" s="12"/>
      <c r="D28" s="9"/>
      <c r="E28" s="48"/>
      <c r="F28" s="41">
        <f>D28*E28*1</f>
        <v>0</v>
      </c>
    </row>
    <row r="29" spans="1:6" s="1" customFormat="1" ht="21" x14ac:dyDescent="0.4">
      <c r="A29" s="49">
        <v>7</v>
      </c>
      <c r="B29" s="10" t="s">
        <v>31</v>
      </c>
      <c r="C29" s="38"/>
      <c r="D29" s="50"/>
      <c r="E29" s="51"/>
      <c r="F29" s="41">
        <f>(F9+F14+F17+F18+F20+F24)*0.3</f>
        <v>10838.3325</v>
      </c>
    </row>
    <row r="30" spans="1:6" s="1" customFormat="1" ht="21" x14ac:dyDescent="0.4">
      <c r="A30" s="7"/>
      <c r="B30" s="38" t="s">
        <v>32</v>
      </c>
      <c r="C30" s="38"/>
      <c r="D30" s="6"/>
      <c r="E30" s="52"/>
      <c r="F30" s="79">
        <f>F9+F11+F13+F14+F15+F16+F17+F18+F20+F21+F23+F24+F26+F28+F29</f>
        <v>46966.107499999998</v>
      </c>
    </row>
    <row r="31" spans="1:6" s="1" customFormat="1" ht="21" x14ac:dyDescent="0.4">
      <c r="B31" s="12" t="s">
        <v>33</v>
      </c>
      <c r="E31" s="19"/>
    </row>
    <row r="32" spans="1:6" s="1" customFormat="1" ht="21" x14ac:dyDescent="0.4">
      <c r="C32" s="12"/>
      <c r="D32" s="1" t="s">
        <v>6</v>
      </c>
      <c r="E32" s="1"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row>
    <row r="33" spans="2:5" s="1" customFormat="1" ht="21" x14ac:dyDescent="0.4">
      <c r="B33" s="12"/>
      <c r="C33" s="12"/>
      <c r="D33" s="1" t="s">
        <v>5</v>
      </c>
      <c r="E33" s="1"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row>
    <row r="34" spans="2:5" s="1" customFormat="1" ht="21" x14ac:dyDescent="0.4">
      <c r="D34" s="1" t="s">
        <v>4</v>
      </c>
      <c r="E34" s="1"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row>
  </sheetData>
  <mergeCells count="5">
    <mergeCell ref="B3:F4"/>
    <mergeCell ref="A1:F1"/>
    <mergeCell ref="A2:F2"/>
    <mergeCell ref="A5:A6"/>
    <mergeCell ref="B5:E6"/>
  </mergeCells>
  <pageMargins left="0.59055118110236215" right="0.59055118110236215" top="0.59055118110236215" bottom="0.59055118110236215" header="0.59055118110236215" footer="0.59055118110236215"/>
  <pageSetup paperSize="9" fitToWidth="0"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1</xdr:col>
                    <xdr:colOff>114300</xdr:colOff>
                    <xdr:row>8</xdr:row>
                    <xdr:rowOff>68580</xdr:rowOff>
                  </from>
                  <to>
                    <xdr:col>1</xdr:col>
                    <xdr:colOff>312420</xdr:colOff>
                    <xdr:row>9</xdr:row>
                    <xdr:rowOff>7620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1</xdr:col>
                    <xdr:colOff>114300</xdr:colOff>
                    <xdr:row>10</xdr:row>
                    <xdr:rowOff>68580</xdr:rowOff>
                  </from>
                  <to>
                    <xdr:col>1</xdr:col>
                    <xdr:colOff>335280</xdr:colOff>
                    <xdr:row>11</xdr:row>
                    <xdr:rowOff>7620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1</xdr:col>
                    <xdr:colOff>114300</xdr:colOff>
                    <xdr:row>12</xdr:row>
                    <xdr:rowOff>68580</xdr:rowOff>
                  </from>
                  <to>
                    <xdr:col>1</xdr:col>
                    <xdr:colOff>312420</xdr:colOff>
                    <xdr:row>13</xdr:row>
                    <xdr:rowOff>7620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1</xdr:col>
                    <xdr:colOff>114300</xdr:colOff>
                    <xdr:row>13</xdr:row>
                    <xdr:rowOff>68580</xdr:rowOff>
                  </from>
                  <to>
                    <xdr:col>1</xdr:col>
                    <xdr:colOff>335280</xdr:colOff>
                    <xdr:row>14</xdr:row>
                    <xdr:rowOff>7620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1</xdr:col>
                    <xdr:colOff>114300</xdr:colOff>
                    <xdr:row>14</xdr:row>
                    <xdr:rowOff>45720</xdr:rowOff>
                  </from>
                  <to>
                    <xdr:col>1</xdr:col>
                    <xdr:colOff>312420</xdr:colOff>
                    <xdr:row>15</xdr:row>
                    <xdr:rowOff>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1</xdr:col>
                    <xdr:colOff>114300</xdr:colOff>
                    <xdr:row>15</xdr:row>
                    <xdr:rowOff>45720</xdr:rowOff>
                  </from>
                  <to>
                    <xdr:col>1</xdr:col>
                    <xdr:colOff>312420</xdr:colOff>
                    <xdr:row>16</xdr:row>
                    <xdr:rowOff>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1</xdr:col>
                    <xdr:colOff>114300</xdr:colOff>
                    <xdr:row>19</xdr:row>
                    <xdr:rowOff>45720</xdr:rowOff>
                  </from>
                  <to>
                    <xdr:col>1</xdr:col>
                    <xdr:colOff>335280</xdr:colOff>
                    <xdr:row>19</xdr:row>
                    <xdr:rowOff>266700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1</xdr:col>
                    <xdr:colOff>114300</xdr:colOff>
                    <xdr:row>20</xdr:row>
                    <xdr:rowOff>45720</xdr:rowOff>
                  </from>
                  <to>
                    <xdr:col>1</xdr:col>
                    <xdr:colOff>335280</xdr:colOff>
                    <xdr:row>20</xdr:row>
                    <xdr:rowOff>266700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1</xdr:col>
                    <xdr:colOff>114300</xdr:colOff>
                    <xdr:row>22</xdr:row>
                    <xdr:rowOff>30480</xdr:rowOff>
                  </from>
                  <to>
                    <xdr:col>1</xdr:col>
                    <xdr:colOff>335280</xdr:colOff>
                    <xdr:row>22</xdr:row>
                    <xdr:rowOff>259080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1</xdr:col>
                    <xdr:colOff>114300</xdr:colOff>
                    <xdr:row>23</xdr:row>
                    <xdr:rowOff>45720</xdr:rowOff>
                  </from>
                  <to>
                    <xdr:col>1</xdr:col>
                    <xdr:colOff>335280</xdr:colOff>
                    <xdr:row>24</xdr:row>
                    <xdr:rowOff>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1</xdr:col>
                    <xdr:colOff>114300</xdr:colOff>
                    <xdr:row>25</xdr:row>
                    <xdr:rowOff>38100</xdr:rowOff>
                  </from>
                  <to>
                    <xdr:col>1</xdr:col>
                    <xdr:colOff>335280</xdr:colOff>
                    <xdr:row>25</xdr:row>
                    <xdr:rowOff>259080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1</xdr:col>
                    <xdr:colOff>114300</xdr:colOff>
                    <xdr:row>27</xdr:row>
                    <xdr:rowOff>30480</xdr:rowOff>
                  </from>
                  <to>
                    <xdr:col>1</xdr:col>
                    <xdr:colOff>335280</xdr:colOff>
                    <xdr:row>27</xdr:row>
                    <xdr:rowOff>236220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9199C0-4B07-4E66-A6E5-381A4CE53610}">
  <sheetPr codeName="Sheet12"/>
  <dimension ref="A1:AC26"/>
  <sheetViews>
    <sheetView topLeftCell="B26" zoomScale="70" zoomScaleNormal="70" workbookViewId="0">
      <selection activeCell="I4" sqref="I4"/>
    </sheetView>
  </sheetViews>
  <sheetFormatPr defaultColWidth="8.69921875" defaultRowHeight="24.6" x14ac:dyDescent="0.7"/>
  <cols>
    <col min="1" max="1" width="8.69921875" style="63"/>
    <col min="2" max="2" width="49" style="63" bestFit="1" customWidth="1"/>
    <col min="3" max="3" width="14.09765625" style="63" customWidth="1"/>
    <col min="4" max="6" width="13.09765625" style="63" customWidth="1"/>
    <col min="7" max="7" width="51.09765625" style="63" bestFit="1" customWidth="1"/>
    <col min="8" max="8" width="13.5" style="63" customWidth="1"/>
    <col min="9" max="9" width="10.8984375" style="63" customWidth="1"/>
    <col min="10" max="10" width="10" style="63" customWidth="1"/>
    <col min="11" max="11" width="11.69921875" style="63" customWidth="1"/>
    <col min="12" max="12" width="38.19921875" style="63" bestFit="1" customWidth="1"/>
    <col min="13" max="13" width="14.5" style="63" customWidth="1"/>
    <col min="14" max="16" width="8.69921875" style="63"/>
    <col min="17" max="17" width="64.5" style="63" bestFit="1" customWidth="1"/>
    <col min="18" max="18" width="11.19921875" style="63" bestFit="1" customWidth="1"/>
    <col min="19" max="21" width="8.69921875" style="63"/>
    <col min="22" max="22" width="41.5" style="63" bestFit="1" customWidth="1"/>
    <col min="23" max="23" width="12.69921875" style="63" customWidth="1"/>
    <col min="24" max="26" width="8.69921875" style="63"/>
    <col min="27" max="27" width="31.3984375" style="63" bestFit="1" customWidth="1"/>
    <col min="28" max="28" width="12.5" style="63" customWidth="1"/>
    <col min="29" max="16384" width="8.69921875" style="63"/>
  </cols>
  <sheetData>
    <row r="1" spans="1:29" x14ac:dyDescent="0.7">
      <c r="A1" s="260" t="s">
        <v>135</v>
      </c>
      <c r="B1" s="260"/>
      <c r="C1" s="260"/>
      <c r="D1" s="260"/>
      <c r="F1" s="261" t="s">
        <v>136</v>
      </c>
      <c r="G1" s="261"/>
      <c r="H1" s="261"/>
      <c r="I1" s="261"/>
      <c r="K1" s="262" t="s">
        <v>137</v>
      </c>
      <c r="L1" s="262"/>
      <c r="M1" s="262"/>
      <c r="N1" s="262"/>
      <c r="O1" s="63" t="s">
        <v>141</v>
      </c>
      <c r="P1" s="263" t="s">
        <v>146</v>
      </c>
      <c r="Q1" s="263"/>
      <c r="R1" s="263"/>
      <c r="S1" s="263"/>
      <c r="U1" s="264" t="s">
        <v>349</v>
      </c>
      <c r="V1" s="264"/>
      <c r="W1" s="264"/>
      <c r="X1" s="264"/>
      <c r="Z1" s="259" t="s">
        <v>348</v>
      </c>
      <c r="AA1" s="259"/>
      <c r="AB1" s="259"/>
      <c r="AC1" s="259"/>
    </row>
    <row r="2" spans="1:29" x14ac:dyDescent="0.7">
      <c r="A2" s="95" t="s">
        <v>134</v>
      </c>
      <c r="B2" s="96" t="s">
        <v>11</v>
      </c>
      <c r="C2" s="95" t="s">
        <v>145</v>
      </c>
      <c r="D2" s="97" t="s">
        <v>39</v>
      </c>
      <c r="E2" s="94"/>
      <c r="F2" s="95" t="s">
        <v>134</v>
      </c>
      <c r="G2" s="96" t="s">
        <v>10</v>
      </c>
      <c r="H2" s="95" t="s">
        <v>133</v>
      </c>
      <c r="I2" s="97" t="s">
        <v>39</v>
      </c>
      <c r="J2" s="94"/>
      <c r="K2" s="95" t="s">
        <v>134</v>
      </c>
      <c r="L2" s="96" t="s">
        <v>128</v>
      </c>
      <c r="M2" s="95" t="s">
        <v>133</v>
      </c>
      <c r="N2" s="97" t="s">
        <v>39</v>
      </c>
      <c r="P2" s="95" t="s">
        <v>134</v>
      </c>
      <c r="Q2" s="96" t="s">
        <v>144</v>
      </c>
      <c r="R2" s="95" t="s">
        <v>144</v>
      </c>
      <c r="S2" s="98"/>
      <c r="U2" s="95" t="s">
        <v>134</v>
      </c>
      <c r="V2" s="96" t="s">
        <v>118</v>
      </c>
      <c r="W2" s="95" t="s">
        <v>133</v>
      </c>
      <c r="X2" s="98"/>
      <c r="Z2" s="95" t="s">
        <v>134</v>
      </c>
      <c r="AA2" s="96" t="s">
        <v>162</v>
      </c>
      <c r="AB2" s="95" t="s">
        <v>133</v>
      </c>
      <c r="AC2" s="98"/>
    </row>
    <row r="3" spans="1:29" x14ac:dyDescent="0.7">
      <c r="A3" s="93"/>
      <c r="B3" s="63" t="s">
        <v>124</v>
      </c>
      <c r="C3" s="107">
        <v>24022.3</v>
      </c>
      <c r="F3" s="93">
        <v>1</v>
      </c>
      <c r="G3" s="63" t="s">
        <v>303</v>
      </c>
      <c r="H3" s="107">
        <v>150467.82999999999</v>
      </c>
      <c r="I3" s="100">
        <v>20</v>
      </c>
      <c r="K3" s="93">
        <v>1</v>
      </c>
      <c r="L3" s="92" t="s">
        <v>198</v>
      </c>
      <c r="M3" s="132">
        <f>VLOOKUP(L3,ข้อมูลรายการชำระเงิน!A1:B16,2,FALSE)</f>
        <v>3000</v>
      </c>
      <c r="P3" s="93"/>
      <c r="Q3" s="92" t="str">
        <f>"ลูกค้าชำระค่าตรวจสอบแบบและแผนผัง ตามบิล " &amp; Q8 &amp; " ลว. "&amp; TEXT(Q9,"[$-th-TH]d mmm yy")</f>
        <v>ลูกค้าชำระค่าตรวจสอบแบบและแผนผัง ตามบิล EA99846905200010 ลว. 20 พ.ค. 69</v>
      </c>
      <c r="R3" s="104">
        <v>5350</v>
      </c>
      <c r="U3" s="93"/>
      <c r="V3" s="117" t="s">
        <v>174</v>
      </c>
      <c r="W3" s="104">
        <v>15000</v>
      </c>
      <c r="Z3" s="93"/>
      <c r="AA3" s="92" t="s">
        <v>330</v>
      </c>
      <c r="AB3" s="108">
        <f>400*400</f>
        <v>160000</v>
      </c>
    </row>
    <row r="4" spans="1:29" x14ac:dyDescent="0.7">
      <c r="A4" s="93"/>
      <c r="B4" s="63" t="s">
        <v>310</v>
      </c>
      <c r="C4" s="107">
        <v>1199</v>
      </c>
      <c r="F4" s="93"/>
      <c r="G4" s="63" t="s">
        <v>314</v>
      </c>
      <c r="H4" s="107">
        <v>8895</v>
      </c>
      <c r="I4" s="100">
        <v>20</v>
      </c>
      <c r="K4" s="93"/>
      <c r="L4" s="92" t="s">
        <v>316</v>
      </c>
      <c r="M4" s="104">
        <v>2000</v>
      </c>
      <c r="P4" s="93"/>
      <c r="Q4" s="92"/>
      <c r="R4" s="99"/>
      <c r="U4" s="90"/>
      <c r="V4" s="63" t="s">
        <v>331</v>
      </c>
      <c r="W4" s="107">
        <v>500</v>
      </c>
    </row>
    <row r="5" spans="1:29" x14ac:dyDescent="0.7">
      <c r="A5" s="93">
        <v>1</v>
      </c>
      <c r="B5" s="63" t="s">
        <v>311</v>
      </c>
      <c r="C5" s="107">
        <v>1413</v>
      </c>
      <c r="F5" s="93"/>
      <c r="G5" s="63" t="s">
        <v>304</v>
      </c>
      <c r="H5" s="107">
        <v>2669</v>
      </c>
      <c r="I5" s="100">
        <v>50</v>
      </c>
      <c r="K5" s="93"/>
      <c r="L5" s="92" t="s">
        <v>220</v>
      </c>
      <c r="M5" s="104">
        <f>VLOOKUP(L5,ข้อมูลรายการชำระเงิน!D1:E7,2,FALSE)</f>
        <v>1400</v>
      </c>
      <c r="P5" s="93"/>
      <c r="Q5" s="103" t="s">
        <v>158</v>
      </c>
      <c r="R5" s="99"/>
      <c r="U5" s="93"/>
      <c r="V5" s="92"/>
      <c r="W5" s="99"/>
      <c r="Z5" s="93"/>
      <c r="AA5" s="92"/>
      <c r="AB5" s="99"/>
    </row>
    <row r="6" spans="1:29" x14ac:dyDescent="0.7">
      <c r="A6" s="93"/>
      <c r="B6" s="63" t="s">
        <v>312</v>
      </c>
      <c r="C6" s="107">
        <v>296</v>
      </c>
      <c r="D6" s="100"/>
      <c r="F6" s="93"/>
      <c r="G6" s="63" t="s">
        <v>120</v>
      </c>
      <c r="H6" s="107">
        <v>38816.67</v>
      </c>
      <c r="I6" s="100">
        <v>30</v>
      </c>
      <c r="K6" s="93">
        <v>1</v>
      </c>
      <c r="L6" s="92" t="s">
        <v>305</v>
      </c>
      <c r="M6" s="104">
        <v>14000</v>
      </c>
      <c r="P6" s="93"/>
      <c r="Q6" s="103" t="s">
        <v>159</v>
      </c>
      <c r="R6" s="99"/>
      <c r="U6" s="193" t="s">
        <v>161</v>
      </c>
      <c r="W6" s="99"/>
    </row>
    <row r="7" spans="1:29" x14ac:dyDescent="0.7">
      <c r="C7" s="107"/>
      <c r="H7" s="107"/>
      <c r="I7" s="100"/>
      <c r="K7" s="93"/>
      <c r="L7" s="63" t="s">
        <v>62</v>
      </c>
      <c r="M7" s="105">
        <v>570</v>
      </c>
      <c r="P7" s="93"/>
      <c r="Q7" s="103" t="s">
        <v>160</v>
      </c>
      <c r="R7" s="102"/>
      <c r="U7" s="103" t="s">
        <v>173</v>
      </c>
      <c r="V7" s="92"/>
      <c r="W7" s="102"/>
      <c r="Z7" s="103" t="s">
        <v>161</v>
      </c>
    </row>
    <row r="8" spans="1:29" x14ac:dyDescent="0.7">
      <c r="C8" s="107"/>
      <c r="F8" s="93"/>
      <c r="H8" s="107"/>
      <c r="I8" s="100"/>
      <c r="K8" s="93"/>
      <c r="L8" s="92" t="s">
        <v>63</v>
      </c>
      <c r="M8" s="106">
        <f>ROUND(Hotline!F30,2)</f>
        <v>46966.11</v>
      </c>
      <c r="P8" s="114"/>
      <c r="Q8" s="92" t="s">
        <v>329</v>
      </c>
      <c r="R8" s="101"/>
      <c r="U8" s="93"/>
      <c r="V8" s="92"/>
      <c r="W8" s="101"/>
      <c r="Z8" s="193" t="s">
        <v>173</v>
      </c>
    </row>
    <row r="9" spans="1:29" x14ac:dyDescent="0.7">
      <c r="C9" s="107"/>
      <c r="I9" s="100"/>
      <c r="K9" s="90">
        <v>1</v>
      </c>
      <c r="L9" s="92" t="s">
        <v>39</v>
      </c>
      <c r="M9" s="109">
        <v>31835.22</v>
      </c>
      <c r="P9" s="113"/>
      <c r="Q9" s="112">
        <v>25343</v>
      </c>
    </row>
    <row r="10" spans="1:29" x14ac:dyDescent="0.7">
      <c r="A10" s="172"/>
      <c r="B10" s="173" t="s">
        <v>326</v>
      </c>
      <c r="C10" s="172"/>
      <c r="D10" s="172"/>
      <c r="F10" s="172"/>
      <c r="G10" s="173" t="s">
        <v>326</v>
      </c>
      <c r="H10" s="172"/>
      <c r="I10" s="172"/>
      <c r="L10" s="63" t="s">
        <v>306</v>
      </c>
      <c r="Q10" s="111"/>
    </row>
    <row r="11" spans="1:29" x14ac:dyDescent="0.7">
      <c r="C11" s="107"/>
      <c r="F11" s="162">
        <v>1</v>
      </c>
      <c r="G11" s="63" t="s">
        <v>402</v>
      </c>
      <c r="H11" s="107">
        <v>3000</v>
      </c>
      <c r="I11" s="100">
        <v>20</v>
      </c>
      <c r="K11" s="162"/>
      <c r="L11" s="63" t="s">
        <v>341</v>
      </c>
      <c r="M11" s="109">
        <v>500</v>
      </c>
    </row>
    <row r="12" spans="1:29" x14ac:dyDescent="0.7">
      <c r="C12" s="107"/>
      <c r="F12" s="162"/>
      <c r="G12" s="174" t="s">
        <v>328</v>
      </c>
      <c r="H12" s="107">
        <v>68488.25</v>
      </c>
      <c r="I12" s="100">
        <v>25</v>
      </c>
    </row>
    <row r="13" spans="1:29" x14ac:dyDescent="0.7">
      <c r="C13" s="107"/>
      <c r="H13" s="107"/>
      <c r="I13" s="100"/>
    </row>
    <row r="14" spans="1:29" x14ac:dyDescent="0.7">
      <c r="C14" s="107"/>
    </row>
    <row r="15" spans="1:29" x14ac:dyDescent="0.7">
      <c r="A15" s="163" t="s">
        <v>308</v>
      </c>
      <c r="B15" s="163" t="s">
        <v>296</v>
      </c>
      <c r="C15" s="164"/>
      <c r="F15" s="159" t="s">
        <v>308</v>
      </c>
      <c r="G15" s="160" t="s">
        <v>264</v>
      </c>
      <c r="H15" s="161"/>
      <c r="I15" s="100"/>
    </row>
    <row r="16" spans="1:29" x14ac:dyDescent="0.7">
      <c r="B16" s="63" t="s">
        <v>307</v>
      </c>
      <c r="C16" s="107">
        <f>VLOOKUP(B15,ข้อมูลรายการชำระเงิน!G20:H34,2,FALSE)</f>
        <v>9902.9</v>
      </c>
      <c r="F16" s="162">
        <v>1</v>
      </c>
      <c r="G16" s="63" t="s">
        <v>302</v>
      </c>
      <c r="H16" s="107">
        <f>VLOOKUP(G15,ข้อมูลรายการชำระเงิน!G1:H15,2,FALSE)</f>
        <v>5708.25</v>
      </c>
      <c r="I16" s="100">
        <v>20</v>
      </c>
    </row>
    <row r="19" spans="2:12" ht="30" x14ac:dyDescent="0.85">
      <c r="B19" s="125" t="s">
        <v>182</v>
      </c>
      <c r="C19" s="98"/>
      <c r="L19" s="203" t="s">
        <v>376</v>
      </c>
    </row>
    <row r="20" spans="2:12" ht="30" x14ac:dyDescent="0.85">
      <c r="B20" s="98" t="s">
        <v>183</v>
      </c>
      <c r="C20" s="98" t="s">
        <v>184</v>
      </c>
      <c r="L20" s="204" t="s">
        <v>370</v>
      </c>
    </row>
    <row r="21" spans="2:12" x14ac:dyDescent="0.7">
      <c r="B21" s="98" t="s">
        <v>185</v>
      </c>
      <c r="C21" s="98" t="s">
        <v>196</v>
      </c>
      <c r="D21" s="100"/>
    </row>
    <row r="22" spans="2:12" x14ac:dyDescent="0.7">
      <c r="B22" s="98" t="s">
        <v>186</v>
      </c>
      <c r="C22" s="98" t="s">
        <v>187</v>
      </c>
    </row>
    <row r="23" spans="2:12" x14ac:dyDescent="0.7">
      <c r="B23" s="98" t="s">
        <v>188</v>
      </c>
      <c r="C23" s="98" t="s">
        <v>189</v>
      </c>
    </row>
    <row r="24" spans="2:12" x14ac:dyDescent="0.7">
      <c r="B24" s="98" t="s">
        <v>190</v>
      </c>
      <c r="C24" s="98" t="s">
        <v>191</v>
      </c>
    </row>
    <row r="25" spans="2:12" x14ac:dyDescent="0.7">
      <c r="B25" s="126" t="s">
        <v>193</v>
      </c>
      <c r="C25" s="63" t="s">
        <v>192</v>
      </c>
    </row>
    <row r="26" spans="2:12" x14ac:dyDescent="0.7">
      <c r="B26" s="63" t="s">
        <v>195</v>
      </c>
      <c r="C26" s="63" t="s">
        <v>194</v>
      </c>
    </row>
  </sheetData>
  <mergeCells count="6">
    <mergeCell ref="Z1:AC1"/>
    <mergeCell ref="A1:D1"/>
    <mergeCell ref="F1:I1"/>
    <mergeCell ref="K1:N1"/>
    <mergeCell ref="P1:S1"/>
    <mergeCell ref="U1:X1"/>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8">
        <x14:dataValidation type="list" allowBlank="1" showInputMessage="1" showErrorMessage="1" xr:uid="{B1CC7F9E-FE40-4057-8B98-5CDE15AF4812}">
          <x14:formula1>
            <xm:f>ข้อมูลรายการชำระเงิน!$A$1:$A$16</xm:f>
          </x14:formula1>
          <xm:sqref>L3</xm:sqref>
        </x14:dataValidation>
        <x14:dataValidation type="list" allowBlank="1" showInputMessage="1" showErrorMessage="1" xr:uid="{7A3CB408-020C-470D-A052-41FD0890A1C0}">
          <x14:formula1>
            <xm:f>ข้อมูลรายการชำระเงิน!$D$1:$D$7</xm:f>
          </x14:formula1>
          <xm:sqref>L5</xm:sqref>
        </x14:dataValidation>
        <x14:dataValidation type="list" allowBlank="1" showInputMessage="1" showErrorMessage="1" xr:uid="{2AB3E25E-531F-4D4E-9ED8-22745C80418F}">
          <x14:formula1>
            <xm:f>ข้อมูลรายการชำระเงิน!$G$1:$G$15</xm:f>
          </x14:formula1>
          <xm:sqref>G15</xm:sqref>
        </x14:dataValidation>
        <x14:dataValidation type="list" allowBlank="1" showInputMessage="1" showErrorMessage="1" xr:uid="{D0797D16-096E-4FAC-99B9-8D114788A7A7}">
          <x14:formula1>
            <xm:f>ข้อมูลรายการชำระเงิน!$G$20:$G$34</xm:f>
          </x14:formula1>
          <xm:sqref>B15</xm:sqref>
        </x14:dataValidation>
        <x14:dataValidation type="list" allowBlank="1" showInputMessage="1" showErrorMessage="1" xr:uid="{FCD14F1B-188F-4270-924F-E56B9C79CB6D}">
          <x14:formula1>
            <xm:f>ข้อมูลรายการชำระเงิน!$K:$K</xm:f>
          </x14:formula1>
          <xm:sqref>B3:B9</xm:sqref>
        </x14:dataValidation>
        <x14:dataValidation type="list" allowBlank="1" showInputMessage="1" showErrorMessage="1" xr:uid="{7EA56323-3658-4F05-BC59-ABDE9D5D943E}">
          <x14:formula1>
            <xm:f>ข้อมูลรายการชำระเงิน!$L:$L</xm:f>
          </x14:formula1>
          <xm:sqref>G3:G9</xm:sqref>
        </x14:dataValidation>
        <x14:dataValidation type="list" allowBlank="1" showInputMessage="1" showErrorMessage="1" xr:uid="{3E10D2F6-49C4-480B-9110-E830B14C3218}">
          <x14:formula1>
            <xm:f>Who!$A$1:$A$22</xm:f>
          </x14:formula1>
          <xm:sqref>L19</xm:sqref>
        </x14:dataValidation>
        <x14:dataValidation type="list" allowBlank="1" showInputMessage="1" showErrorMessage="1" xr:uid="{6DCD98FC-5643-4EEF-B557-87722EA44A23}">
          <x14:formula1>
            <xm:f>Who!$C$1:$C$14</xm:f>
          </x14:formula1>
          <xm:sqref>L20</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9ADA4-2DF8-41CA-B7C4-8DD470079762}">
  <dimension ref="A1:C8"/>
  <sheetViews>
    <sheetView workbookViewId="0">
      <selection activeCell="A14" sqref="A14"/>
    </sheetView>
  </sheetViews>
  <sheetFormatPr defaultRowHeight="13.8" x14ac:dyDescent="0.25"/>
  <cols>
    <col min="1" max="1" width="28.8984375" bestFit="1" customWidth="1"/>
    <col min="3" max="3" width="21.5" bestFit="1" customWidth="1"/>
  </cols>
  <sheetData>
    <row r="1" spans="1:3" x14ac:dyDescent="0.25">
      <c r="A1" t="s">
        <v>366</v>
      </c>
      <c r="C1" t="s">
        <v>370</v>
      </c>
    </row>
    <row r="2" spans="1:3" x14ac:dyDescent="0.25">
      <c r="A2" t="s">
        <v>397</v>
      </c>
      <c r="C2" t="s">
        <v>369</v>
      </c>
    </row>
    <row r="3" spans="1:3" x14ac:dyDescent="0.25">
      <c r="A3" t="s">
        <v>398</v>
      </c>
    </row>
    <row r="4" spans="1:3" x14ac:dyDescent="0.25">
      <c r="A4" t="s">
        <v>367</v>
      </c>
    </row>
    <row r="5" spans="1:3" x14ac:dyDescent="0.25">
      <c r="A5" t="s">
        <v>399</v>
      </c>
    </row>
    <row r="6" spans="1:3" x14ac:dyDescent="0.25">
      <c r="A6" t="s">
        <v>400</v>
      </c>
    </row>
    <row r="7" spans="1:3" x14ac:dyDescent="0.25">
      <c r="A7" t="s">
        <v>391</v>
      </c>
    </row>
    <row r="8" spans="1:3" x14ac:dyDescent="0.25">
      <c r="A8" t="s">
        <v>376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C98B8-46AE-43DB-B7E1-5FB29A58E6C0}">
  <sheetPr codeName="Sheet26"/>
  <dimension ref="A1"/>
  <sheetViews>
    <sheetView workbookViewId="0">
      <selection activeCell="G29" sqref="G29"/>
    </sheetView>
  </sheetViews>
  <sheetFormatPr defaultRowHeight="13.8" x14ac:dyDescent="0.2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73ED2-EB05-409E-BDCD-8F3670A88A63}">
  <sheetPr codeName="Sheet17"/>
  <dimension ref="A1:Q35"/>
  <sheetViews>
    <sheetView workbookViewId="0">
      <selection activeCell="A16" sqref="A16"/>
    </sheetView>
  </sheetViews>
  <sheetFormatPr defaultRowHeight="13.8" x14ac:dyDescent="0.25"/>
  <cols>
    <col min="1" max="1" width="26.59765625" bestFit="1" customWidth="1"/>
    <col min="2" max="2" width="10.09765625" bestFit="1" customWidth="1"/>
    <col min="4" max="4" width="39.09765625" bestFit="1" customWidth="1"/>
    <col min="7" max="7" width="52.5" bestFit="1" customWidth="1"/>
    <col min="11" max="11" width="31.3984375" bestFit="1" customWidth="1"/>
    <col min="12" max="12" width="22.09765625" bestFit="1" customWidth="1"/>
    <col min="13" max="13" width="15.5" bestFit="1" customWidth="1"/>
    <col min="14" max="14" width="31.3984375" bestFit="1" customWidth="1"/>
    <col min="15" max="15" width="23.8984375" bestFit="1" customWidth="1"/>
    <col min="16" max="16" width="15.3984375" customWidth="1"/>
    <col min="18" max="18" width="18.5" bestFit="1" customWidth="1"/>
  </cols>
  <sheetData>
    <row r="1" spans="1:17" x14ac:dyDescent="0.25">
      <c r="A1" t="s">
        <v>198</v>
      </c>
      <c r="B1" s="131">
        <f>30*100</f>
        <v>3000</v>
      </c>
      <c r="D1" t="s">
        <v>218</v>
      </c>
      <c r="E1" s="131">
        <v>800</v>
      </c>
      <c r="G1" t="s">
        <v>264</v>
      </c>
      <c r="H1" s="131">
        <f t="array" ref="H1:I1">'T 30-160'!$E$13:$F$13</f>
        <v>5708.25</v>
      </c>
      <c r="I1">
        <v>0</v>
      </c>
      <c r="K1" t="s">
        <v>124</v>
      </c>
      <c r="L1" t="s">
        <v>309</v>
      </c>
      <c r="Q1" t="s">
        <v>313</v>
      </c>
    </row>
    <row r="2" spans="1:17" x14ac:dyDescent="0.25">
      <c r="A2" t="s">
        <v>204</v>
      </c>
      <c r="B2" s="131">
        <f>50*100</f>
        <v>5000</v>
      </c>
      <c r="D2" t="s">
        <v>219</v>
      </c>
      <c r="E2" s="131">
        <v>950</v>
      </c>
      <c r="G2" t="s">
        <v>265</v>
      </c>
      <c r="H2" s="131">
        <f t="array" ref="H2:I2">'T 30-160'!$E$13:$F$13</f>
        <v>5708.25</v>
      </c>
      <c r="I2">
        <v>0</v>
      </c>
      <c r="K2" t="s">
        <v>310</v>
      </c>
      <c r="L2" t="s">
        <v>163</v>
      </c>
    </row>
    <row r="3" spans="1:17" x14ac:dyDescent="0.25">
      <c r="A3" t="s">
        <v>205</v>
      </c>
      <c r="B3" s="131">
        <f>100*100</f>
        <v>10000</v>
      </c>
      <c r="D3" t="s">
        <v>220</v>
      </c>
      <c r="E3" s="131">
        <v>1400</v>
      </c>
      <c r="G3" t="s">
        <v>266</v>
      </c>
      <c r="H3" s="131">
        <f t="array" ref="H3:I3">'T 30-160'!$E$13:$F$13</f>
        <v>5708.25</v>
      </c>
      <c r="I3">
        <v>0</v>
      </c>
      <c r="K3" t="s">
        <v>309</v>
      </c>
      <c r="L3" t="s">
        <v>120</v>
      </c>
    </row>
    <row r="4" spans="1:17" x14ac:dyDescent="0.25">
      <c r="A4" t="s">
        <v>206</v>
      </c>
      <c r="B4" s="131">
        <f>160*100</f>
        <v>16000</v>
      </c>
      <c r="D4" t="s">
        <v>221</v>
      </c>
      <c r="E4" s="131">
        <v>1800</v>
      </c>
      <c r="G4" t="s">
        <v>267</v>
      </c>
      <c r="H4" s="131">
        <f t="array" ref="H4:I4">'T 30-160'!$E$13:$F$13</f>
        <v>5708.25</v>
      </c>
      <c r="I4">
        <v>0</v>
      </c>
      <c r="K4" t="s">
        <v>163</v>
      </c>
      <c r="L4" t="s">
        <v>304</v>
      </c>
    </row>
    <row r="5" spans="1:17" x14ac:dyDescent="0.25">
      <c r="A5" t="s">
        <v>207</v>
      </c>
      <c r="B5" s="131">
        <f>250*100</f>
        <v>25000</v>
      </c>
      <c r="D5" t="s">
        <v>222</v>
      </c>
      <c r="E5" s="131">
        <v>2000</v>
      </c>
      <c r="G5" t="s">
        <v>268</v>
      </c>
      <c r="H5" s="131">
        <f>'T 250-315'!$E$13</f>
        <v>6296.2749999999996</v>
      </c>
    </row>
    <row r="6" spans="1:17" x14ac:dyDescent="0.25">
      <c r="A6" t="s">
        <v>208</v>
      </c>
      <c r="B6" s="131">
        <f>315*100</f>
        <v>31500</v>
      </c>
      <c r="D6" t="s">
        <v>223</v>
      </c>
      <c r="E6" s="131">
        <v>2500</v>
      </c>
      <c r="G6" t="s">
        <v>269</v>
      </c>
      <c r="H6" s="131">
        <f>'T 250-315'!$E$13</f>
        <v>6296.2749999999996</v>
      </c>
      <c r="K6" t="s">
        <v>122</v>
      </c>
      <c r="L6" t="s">
        <v>303</v>
      </c>
    </row>
    <row r="7" spans="1:17" x14ac:dyDescent="0.25">
      <c r="A7" t="s">
        <v>209</v>
      </c>
      <c r="B7" s="131">
        <f>400*100</f>
        <v>40000</v>
      </c>
      <c r="D7" t="s">
        <v>224</v>
      </c>
      <c r="E7" s="131">
        <v>3300</v>
      </c>
      <c r="G7" t="s">
        <v>270</v>
      </c>
      <c r="H7" s="131">
        <f>'T 400'!$E$14</f>
        <v>8397.9</v>
      </c>
      <c r="K7" t="s">
        <v>315</v>
      </c>
      <c r="L7" t="s">
        <v>314</v>
      </c>
    </row>
    <row r="8" spans="1:17" x14ac:dyDescent="0.25">
      <c r="A8" t="s">
        <v>210</v>
      </c>
      <c r="B8" s="131">
        <f>500*100</f>
        <v>50000</v>
      </c>
      <c r="G8" t="s">
        <v>271</v>
      </c>
      <c r="H8" s="131">
        <f>'T &gt;500'!$E$14</f>
        <v>9902.9</v>
      </c>
    </row>
    <row r="9" spans="1:17" x14ac:dyDescent="0.25">
      <c r="A9" t="s">
        <v>211</v>
      </c>
      <c r="B9" s="131">
        <f>630*100</f>
        <v>63000</v>
      </c>
      <c r="G9" t="s">
        <v>272</v>
      </c>
      <c r="H9" s="131">
        <f>'T &gt;500'!$E$14</f>
        <v>9902.9</v>
      </c>
      <c r="K9" t="s">
        <v>311</v>
      </c>
    </row>
    <row r="10" spans="1:17" x14ac:dyDescent="0.25">
      <c r="A10" t="s">
        <v>212</v>
      </c>
      <c r="B10" s="131">
        <f>800*100</f>
        <v>80000</v>
      </c>
      <c r="G10" t="s">
        <v>273</v>
      </c>
      <c r="H10" s="131">
        <f>'T &gt;500'!$E$14</f>
        <v>9902.9</v>
      </c>
      <c r="K10" t="s">
        <v>312</v>
      </c>
    </row>
    <row r="11" spans="1:17" x14ac:dyDescent="0.25">
      <c r="A11" t="s">
        <v>213</v>
      </c>
      <c r="B11" s="131">
        <f>1000*100</f>
        <v>100000</v>
      </c>
      <c r="G11" t="s">
        <v>274</v>
      </c>
      <c r="H11" s="131">
        <f>'T &gt;500'!$E$14</f>
        <v>9902.9</v>
      </c>
    </row>
    <row r="12" spans="1:17" x14ac:dyDescent="0.25">
      <c r="A12" t="s">
        <v>214</v>
      </c>
      <c r="B12" s="131">
        <f>1250*100</f>
        <v>125000</v>
      </c>
      <c r="G12" t="s">
        <v>275</v>
      </c>
      <c r="H12" s="131">
        <f>'T &gt;500'!$E$14</f>
        <v>9902.9</v>
      </c>
    </row>
    <row r="13" spans="1:17" x14ac:dyDescent="0.25">
      <c r="A13" t="s">
        <v>215</v>
      </c>
      <c r="B13" s="131">
        <f>1500*100</f>
        <v>150000</v>
      </c>
      <c r="G13" t="s">
        <v>276</v>
      </c>
      <c r="H13" s="131">
        <f>'T &gt;500'!$E$14</f>
        <v>9902.9</v>
      </c>
    </row>
    <row r="14" spans="1:17" x14ac:dyDescent="0.25">
      <c r="A14" t="s">
        <v>216</v>
      </c>
      <c r="B14" s="131">
        <f>1800*100</f>
        <v>180000</v>
      </c>
      <c r="G14" t="s">
        <v>277</v>
      </c>
      <c r="H14" s="131">
        <f>'T &gt;500'!$E$14</f>
        <v>9902.9</v>
      </c>
    </row>
    <row r="15" spans="1:17" x14ac:dyDescent="0.25">
      <c r="A15" t="s">
        <v>217</v>
      </c>
      <c r="B15" s="131">
        <f>2000*100</f>
        <v>200000</v>
      </c>
      <c r="G15" t="s">
        <v>278</v>
      </c>
      <c r="H15" s="131">
        <f>'T &gt;500'!$E$14</f>
        <v>9902.9</v>
      </c>
    </row>
    <row r="16" spans="1:17" x14ac:dyDescent="0.25">
      <c r="A16" t="s">
        <v>321</v>
      </c>
      <c r="B16" s="131">
        <f>150*100</f>
        <v>15000</v>
      </c>
    </row>
    <row r="20" spans="7:8" x14ac:dyDescent="0.25">
      <c r="G20" t="s">
        <v>287</v>
      </c>
      <c r="H20" s="131">
        <f t="array" ref="H20">'T 30-160'!$E$13:$F$13</f>
        <v>5708.25</v>
      </c>
    </row>
    <row r="21" spans="7:8" x14ac:dyDescent="0.25">
      <c r="G21" t="s">
        <v>288</v>
      </c>
      <c r="H21" s="131">
        <f t="array" ref="H21">'T 30-160'!$E$13:$F$13</f>
        <v>5708.25</v>
      </c>
    </row>
    <row r="22" spans="7:8" x14ac:dyDescent="0.25">
      <c r="G22" t="s">
        <v>289</v>
      </c>
      <c r="H22" s="131">
        <f t="array" ref="H22">'T 30-160'!$E$13:$F$13</f>
        <v>5708.25</v>
      </c>
    </row>
    <row r="23" spans="7:8" x14ac:dyDescent="0.25">
      <c r="G23" t="s">
        <v>290</v>
      </c>
      <c r="H23" s="131">
        <f t="array" ref="H23">'T 30-160'!$E$13:$F$13</f>
        <v>5708.25</v>
      </c>
    </row>
    <row r="24" spans="7:8" x14ac:dyDescent="0.25">
      <c r="G24" t="s">
        <v>291</v>
      </c>
      <c r="H24" s="131">
        <f>'T 250-315'!$E$13</f>
        <v>6296.2749999999996</v>
      </c>
    </row>
    <row r="25" spans="7:8" x14ac:dyDescent="0.25">
      <c r="G25" t="s">
        <v>292</v>
      </c>
      <c r="H25" s="131">
        <f>'T 250-315'!$E$13</f>
        <v>6296.2749999999996</v>
      </c>
    </row>
    <row r="26" spans="7:8" x14ac:dyDescent="0.25">
      <c r="G26" t="s">
        <v>293</v>
      </c>
      <c r="H26" s="131">
        <f>'T 400'!$E$14</f>
        <v>8397.9</v>
      </c>
    </row>
    <row r="27" spans="7:8" x14ac:dyDescent="0.25">
      <c r="G27" t="s">
        <v>294</v>
      </c>
      <c r="H27" s="131">
        <f>'T &gt;500'!$E$14</f>
        <v>9902.9</v>
      </c>
    </row>
    <row r="28" spans="7:8" x14ac:dyDescent="0.25">
      <c r="G28" t="s">
        <v>295</v>
      </c>
      <c r="H28" s="131">
        <f>'T &gt;500'!$E$14</f>
        <v>9902.9</v>
      </c>
    </row>
    <row r="29" spans="7:8" x14ac:dyDescent="0.25">
      <c r="G29" t="s">
        <v>296</v>
      </c>
      <c r="H29" s="131">
        <f>'T &gt;500'!$E$14</f>
        <v>9902.9</v>
      </c>
    </row>
    <row r="30" spans="7:8" x14ac:dyDescent="0.25">
      <c r="G30" t="s">
        <v>297</v>
      </c>
      <c r="H30" s="131">
        <f>'T &gt;500'!$E$14</f>
        <v>9902.9</v>
      </c>
    </row>
    <row r="31" spans="7:8" x14ac:dyDescent="0.25">
      <c r="G31" t="s">
        <v>298</v>
      </c>
      <c r="H31" s="131">
        <f>'T &gt;500'!$E$14</f>
        <v>9902.9</v>
      </c>
    </row>
    <row r="32" spans="7:8" x14ac:dyDescent="0.25">
      <c r="G32" t="s">
        <v>299</v>
      </c>
      <c r="H32" s="131">
        <f>'T &gt;500'!$E$14</f>
        <v>9902.9</v>
      </c>
    </row>
    <row r="33" spans="7:8" x14ac:dyDescent="0.25">
      <c r="G33" t="s">
        <v>300</v>
      </c>
      <c r="H33" s="131">
        <f>'T &gt;500'!$E$14</f>
        <v>9902.9</v>
      </c>
    </row>
    <row r="34" spans="7:8" x14ac:dyDescent="0.25">
      <c r="G34" t="s">
        <v>301</v>
      </c>
      <c r="H34" s="131">
        <f>'T &gt;500'!$E$14</f>
        <v>9902.9</v>
      </c>
    </row>
    <row r="35" spans="7:8" x14ac:dyDescent="0.25">
      <c r="H35" s="131"/>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62877-2DF1-4FEA-83E5-D1FE2373F69B}">
  <sheetPr codeName="Sheet21">
    <tabColor rgb="FF00B050"/>
    <pageSetUpPr fitToPage="1"/>
  </sheetPr>
  <dimension ref="A1:F19"/>
  <sheetViews>
    <sheetView zoomScale="90" zoomScaleNormal="90" workbookViewId="0">
      <selection activeCell="A4" sqref="A4"/>
    </sheetView>
  </sheetViews>
  <sheetFormatPr defaultColWidth="9" defaultRowHeight="28.8" x14ac:dyDescent="0.55000000000000004"/>
  <cols>
    <col min="1" max="1" width="73" style="133" customWidth="1"/>
    <col min="2" max="2" width="13" style="133" bestFit="1" customWidth="1"/>
    <col min="3" max="3" width="11.3984375" style="133" customWidth="1"/>
    <col min="4" max="4" width="11.09765625" style="133" bestFit="1" customWidth="1"/>
    <col min="5" max="5" width="11.09765625" style="133" customWidth="1"/>
    <col min="6" max="16384" width="9" style="133"/>
  </cols>
  <sheetData>
    <row r="1" spans="1:6" x14ac:dyDescent="0.55000000000000004">
      <c r="A1" s="233" t="s">
        <v>320</v>
      </c>
      <c r="B1" s="233"/>
      <c r="C1" s="233"/>
      <c r="D1" s="233"/>
      <c r="E1" s="233"/>
      <c r="F1" s="233"/>
    </row>
    <row r="2" spans="1:6" x14ac:dyDescent="0.55000000000000004">
      <c r="A2" s="233" t="str">
        <f>IF(หน้าหลัก!B2="","","ชื่องาน "&amp;หน้าหลัก!B2&amp;" ")</f>
        <v xml:space="preserve">ชื่องาน แขวงทางหลวงสงขลาที่ 1 หน้าศูนย์กระจายสินค้า (จุดที่ 2) </v>
      </c>
      <c r="B2" s="233"/>
      <c r="C2" s="233" t="str">
        <f>IF(หน้าหลัก!E5 &lt;&gt;"","เลขแผนผัง "&amp;หน้าหลัก!B5&amp;หน้าหลัก!E5,"")</f>
        <v>เลขแผนผัง TF09-0A3/690796</v>
      </c>
      <c r="D2" s="233"/>
      <c r="E2" s="233"/>
      <c r="F2" s="233"/>
    </row>
    <row r="3" spans="1:6" x14ac:dyDescent="0.55000000000000004">
      <c r="A3" s="171" t="s">
        <v>226</v>
      </c>
      <c r="B3" s="171" t="s">
        <v>227</v>
      </c>
      <c r="C3" s="171" t="s">
        <v>228</v>
      </c>
      <c r="D3" s="171" t="s">
        <v>41</v>
      </c>
      <c r="E3" s="171" t="s">
        <v>229</v>
      </c>
      <c r="F3" s="171" t="s">
        <v>230</v>
      </c>
    </row>
    <row r="4" spans="1:6" x14ac:dyDescent="0.55000000000000004">
      <c r="A4" s="169" t="s">
        <v>345</v>
      </c>
      <c r="B4" s="136">
        <v>1</v>
      </c>
      <c r="C4" s="137">
        <v>437350</v>
      </c>
      <c r="D4" s="137">
        <f>B4*C4</f>
        <v>437350</v>
      </c>
      <c r="E4" s="142">
        <f>D4</f>
        <v>437350</v>
      </c>
      <c r="F4" s="170" t="s">
        <v>324</v>
      </c>
    </row>
    <row r="5" spans="1:6" x14ac:dyDescent="0.55000000000000004">
      <c r="A5" s="135"/>
      <c r="B5" s="136"/>
      <c r="C5" s="137"/>
      <c r="D5" s="137"/>
      <c r="E5" s="142"/>
      <c r="F5" s="170"/>
    </row>
    <row r="6" spans="1:6" x14ac:dyDescent="0.55000000000000004">
      <c r="A6" s="135"/>
      <c r="B6" s="136"/>
      <c r="C6" s="137"/>
      <c r="D6" s="137"/>
      <c r="E6" s="142"/>
      <c r="F6" s="170"/>
    </row>
    <row r="7" spans="1:6" x14ac:dyDescent="0.55000000000000004">
      <c r="A7" s="135"/>
      <c r="B7" s="136"/>
      <c r="C7" s="137"/>
      <c r="D7" s="137"/>
      <c r="E7" s="142"/>
      <c r="F7" s="170"/>
    </row>
    <row r="8" spans="1:6" x14ac:dyDescent="0.55000000000000004">
      <c r="A8" s="135"/>
      <c r="B8" s="136"/>
      <c r="C8" s="137"/>
      <c r="D8" s="137"/>
      <c r="E8" s="142"/>
      <c r="F8" s="170"/>
    </row>
    <row r="9" spans="1:6" x14ac:dyDescent="0.55000000000000004">
      <c r="A9" s="139"/>
      <c r="B9" s="140"/>
      <c r="C9" s="141"/>
      <c r="D9" s="141"/>
      <c r="E9" s="142"/>
      <c r="F9" s="170"/>
    </row>
    <row r="10" spans="1:6" x14ac:dyDescent="0.55000000000000004">
      <c r="A10" s="234" t="s">
        <v>41</v>
      </c>
      <c r="B10" s="234"/>
      <c r="C10" s="234"/>
      <c r="D10" s="234"/>
      <c r="E10" s="142">
        <f>SUM(E4:E9)</f>
        <v>437350</v>
      </c>
      <c r="F10" s="142">
        <f>SUM(F4:F9)</f>
        <v>0</v>
      </c>
    </row>
    <row r="11" spans="1:6" x14ac:dyDescent="0.55000000000000004">
      <c r="A11" s="234" t="s">
        <v>237</v>
      </c>
      <c r="B11" s="234"/>
      <c r="C11" s="234"/>
      <c r="D11" s="234"/>
      <c r="E11" s="236">
        <f>E10+F10</f>
        <v>437350</v>
      </c>
      <c r="F11" s="236"/>
    </row>
    <row r="12" spans="1:6" x14ac:dyDescent="0.55000000000000004">
      <c r="A12" s="234" t="s">
        <v>238</v>
      </c>
      <c r="B12" s="234"/>
      <c r="C12" s="234"/>
      <c r="D12" s="234"/>
      <c r="E12" s="236">
        <f>E11*7.5%</f>
        <v>32801.25</v>
      </c>
      <c r="F12" s="236"/>
    </row>
    <row r="13" spans="1:6" ht="29.4" thickBot="1" x14ac:dyDescent="0.6">
      <c r="A13" s="231" t="s">
        <v>239</v>
      </c>
      <c r="B13" s="231"/>
      <c r="C13" s="231"/>
      <c r="D13" s="231"/>
      <c r="E13" s="237">
        <f>E10+F10+E12</f>
        <v>470151.25</v>
      </c>
      <c r="F13" s="237"/>
    </row>
    <row r="14" spans="1:6" ht="29.4" thickTop="1" x14ac:dyDescent="0.55000000000000004">
      <c r="A14" s="151" t="s">
        <v>240</v>
      </c>
      <c r="B14" s="152"/>
      <c r="C14" s="152"/>
      <c r="D14" s="152"/>
      <c r="E14" s="156"/>
      <c r="F14" s="156"/>
    </row>
    <row r="15" spans="1:6" x14ac:dyDescent="0.55000000000000004">
      <c r="A15" s="154" t="s">
        <v>241</v>
      </c>
      <c r="B15" s="152"/>
      <c r="C15" s="152"/>
      <c r="D15" s="152"/>
      <c r="E15" s="156"/>
      <c r="F15" s="156"/>
    </row>
    <row r="16" spans="1:6" x14ac:dyDescent="0.55000000000000004">
      <c r="A16" s="154" t="s">
        <v>325</v>
      </c>
      <c r="B16" s="145"/>
      <c r="C16" s="145"/>
      <c r="D16" s="145"/>
      <c r="E16" s="145"/>
    </row>
    <row r="17" spans="2:4" x14ac:dyDescent="0.55000000000000004">
      <c r="B17" s="157" t="s">
        <v>6</v>
      </c>
      <c r="C17" s="158"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D17" s="158"/>
    </row>
    <row r="18" spans="2:4" x14ac:dyDescent="0.55000000000000004">
      <c r="B18" s="157" t="s">
        <v>5</v>
      </c>
      <c r="C18" s="158"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D18" s="158"/>
    </row>
    <row r="19" spans="2:4" x14ac:dyDescent="0.55000000000000004">
      <c r="B19" s="157" t="s">
        <v>4</v>
      </c>
      <c r="C19" s="158"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D19" s="158"/>
    </row>
  </sheetData>
  <mergeCells count="10">
    <mergeCell ref="A12:D12"/>
    <mergeCell ref="E12:F12"/>
    <mergeCell ref="A13:D13"/>
    <mergeCell ref="E13:F13"/>
    <mergeCell ref="A1:F1"/>
    <mergeCell ref="A2:B2"/>
    <mergeCell ref="C2:F2"/>
    <mergeCell ref="A10:D10"/>
    <mergeCell ref="A11:D11"/>
    <mergeCell ref="E11:F11"/>
  </mergeCells>
  <pageMargins left="0.59055118110236215" right="0.59055118110236215" top="0.59055118110236215" bottom="0.59055118110236215" header="0.59055118110236215" footer="0.59055118110236215"/>
  <pageSetup paperSize="9" scale="65"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244ED-A508-44E4-9C32-03D9BD48F4BB}">
  <sheetPr codeName="Sheet2"/>
  <dimension ref="A1:O13"/>
  <sheetViews>
    <sheetView showWhiteSpace="0" zoomScale="70" zoomScaleNormal="70" zoomScaleSheetLayoutView="40" zoomScalePageLayoutView="70" workbookViewId="0">
      <selection activeCell="N12" sqref="N12"/>
    </sheetView>
  </sheetViews>
  <sheetFormatPr defaultColWidth="8" defaultRowHeight="21" x14ac:dyDescent="0.4"/>
  <cols>
    <col min="1" max="1" width="6.69921875" style="1" customWidth="1"/>
    <col min="2" max="2" width="3.59765625" style="1" customWidth="1"/>
    <col min="3" max="3" width="8.59765625" style="1" customWidth="1"/>
    <col min="4" max="4" width="10.19921875" style="1" customWidth="1"/>
    <col min="5" max="5" width="8" style="1"/>
    <col min="6" max="6" width="7.8984375" style="1" customWidth="1"/>
    <col min="7" max="7" width="6.8984375" style="1" customWidth="1"/>
    <col min="8" max="8" width="6.19921875" style="1" customWidth="1"/>
    <col min="9" max="9" width="12.19921875" style="1" customWidth="1"/>
    <col min="10" max="10" width="7.69921875" style="2" customWidth="1"/>
    <col min="11" max="13" width="8" style="1"/>
    <col min="14" max="14" width="9.59765625" style="1" bestFit="1" customWidth="1"/>
    <col min="15" max="18" width="8" style="1"/>
    <col min="19" max="19" width="10.5" style="1" customWidth="1"/>
    <col min="20" max="16384" width="8" style="1"/>
  </cols>
  <sheetData>
    <row r="1" spans="1:15" x14ac:dyDescent="0.4">
      <c r="A1" s="266" t="s">
        <v>15</v>
      </c>
      <c r="B1" s="266"/>
      <c r="C1" s="266"/>
      <c r="D1" s="266"/>
      <c r="E1" s="266"/>
      <c r="F1" s="266"/>
      <c r="G1" s="266"/>
      <c r="H1" s="266"/>
      <c r="I1" s="266"/>
      <c r="J1" s="266"/>
    </row>
    <row r="2" spans="1:15" x14ac:dyDescent="0.4">
      <c r="A2" s="12" t="s">
        <v>14</v>
      </c>
      <c r="B2" s="224"/>
      <c r="C2" s="224"/>
      <c r="D2" s="12" t="s">
        <v>46</v>
      </c>
      <c r="E2" s="223" t="str">
        <f>IF(หน้าหลัก!B5 &lt;&gt;"",หน้าหลัก!B5&amp;หน้าหลัก!E5,"")</f>
        <v>TF09-0A3/690796</v>
      </c>
      <c r="F2" s="223"/>
      <c r="G2" s="1" t="s">
        <v>13</v>
      </c>
      <c r="H2" s="1" t="s">
        <v>12</v>
      </c>
      <c r="I2" s="224"/>
      <c r="J2" s="224"/>
    </row>
    <row r="3" spans="1:15" ht="21" customHeight="1" x14ac:dyDescent="0.4">
      <c r="A3" s="12" t="s">
        <v>45</v>
      </c>
      <c r="B3" s="225" t="str">
        <f>IF(หน้าหลัก!B2="","",หน้าหลัก!B2&amp;" ")
&amp;IF(หน้าหลัก!B4="","","บ้านเลขที่ "&amp;หน้าหลัก!B4&amp;" ")
&amp;IF(หน้าหลัก!C4="","","หมู่ "&amp;หน้าหลัก!C4&amp;" ")
&amp;IF(หน้าหลัก!D4="","","ซอย "&amp;หน้าหลัก!D4&amp;"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
&amp;IF(หน้าหลัก!I4="","",หน้าหลัก!I4)</f>
        <v>แขวงทางหลวงสงขลาที่ 1 หน้าศูนย์กระจายสินค้า (จุดที่ 2) บ้านเลขที่ หน้าศูนย์กระจายสินค้า (จุดที่ 2) ตำบลท่าช้าง อำเภอบางกล่ำ จังหวัดสงขลา 90110</v>
      </c>
      <c r="C3" s="225"/>
      <c r="D3" s="225"/>
      <c r="E3" s="225"/>
      <c r="F3" s="225"/>
      <c r="G3" s="225"/>
      <c r="H3" s="225"/>
      <c r="I3" s="225"/>
      <c r="J3" s="225"/>
    </row>
    <row r="4" spans="1:15" ht="21.75" customHeight="1" thickBot="1" x14ac:dyDescent="0.45">
      <c r="A4" s="18"/>
      <c r="B4" s="226"/>
      <c r="C4" s="226"/>
      <c r="D4" s="226"/>
      <c r="E4" s="226"/>
      <c r="F4" s="226"/>
      <c r="G4" s="226"/>
      <c r="H4" s="226"/>
      <c r="I4" s="226"/>
      <c r="J4" s="226"/>
    </row>
    <row r="5" spans="1:15" ht="21.75" customHeight="1" thickTop="1" x14ac:dyDescent="0.4">
      <c r="A5" s="267" t="str">
        <f>หน้าหลัก!G5&amp;หน้าหลัก!I5</f>
        <v>C-69-L-HAYSR.0382</v>
      </c>
      <c r="B5" s="267"/>
      <c r="C5" s="267"/>
      <c r="D5" s="267"/>
      <c r="G5" s="13"/>
    </row>
    <row r="6" spans="1:15" ht="20.399999999999999" customHeight="1" x14ac:dyDescent="0.4">
      <c r="A6" s="1" t="s">
        <v>7</v>
      </c>
      <c r="G6" s="13"/>
      <c r="I6" s="67" t="e">
        <f>#REF!+#REF!</f>
        <v>#REF!</v>
      </c>
      <c r="J6" s="2" t="s">
        <v>0</v>
      </c>
    </row>
    <row r="7" spans="1:15" x14ac:dyDescent="0.4">
      <c r="A7" s="1" t="s">
        <v>8</v>
      </c>
      <c r="G7" s="13"/>
      <c r="I7" s="16" t="e">
        <f>SUM(I6*7%)</f>
        <v>#REF!</v>
      </c>
      <c r="J7" s="11" t="s">
        <v>0</v>
      </c>
    </row>
    <row r="8" spans="1:15" ht="21.6" thickBot="1" x14ac:dyDescent="0.45">
      <c r="A8" s="12" t="s">
        <v>7</v>
      </c>
      <c r="B8" s="12"/>
      <c r="C8" s="12"/>
      <c r="D8" s="12"/>
      <c r="E8" s="12"/>
      <c r="F8" s="12"/>
      <c r="G8" s="14"/>
      <c r="H8" s="12"/>
      <c r="I8" s="15" t="e">
        <f>I6+I7</f>
        <v>#REF!</v>
      </c>
      <c r="J8" s="68" t="s">
        <v>0</v>
      </c>
    </row>
    <row r="9" spans="1:15" ht="21.6" thickTop="1" x14ac:dyDescent="0.4">
      <c r="A9" s="265" t="s">
        <v>171</v>
      </c>
      <c r="B9" s="265"/>
      <c r="C9" s="265"/>
      <c r="D9" s="265"/>
      <c r="E9" s="265"/>
      <c r="F9" s="265"/>
      <c r="G9" s="265"/>
      <c r="H9" s="265"/>
      <c r="I9" s="265"/>
      <c r="J9" s="265"/>
    </row>
    <row r="10" spans="1:15" x14ac:dyDescent="0.4">
      <c r="A10" s="12"/>
      <c r="F10" s="12" t="s">
        <v>6</v>
      </c>
      <c r="H10" s="223"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I10" s="223"/>
      <c r="J10" s="223"/>
    </row>
    <row r="11" spans="1:15" x14ac:dyDescent="0.4">
      <c r="A11" s="12"/>
      <c r="F11" s="12" t="s">
        <v>5</v>
      </c>
      <c r="H11" s="223"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I11" s="223"/>
      <c r="J11" s="223"/>
    </row>
    <row r="12" spans="1:15" x14ac:dyDescent="0.4">
      <c r="A12" s="12"/>
      <c r="F12" s="12" t="s">
        <v>4</v>
      </c>
      <c r="H12" s="223"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I12" s="223"/>
      <c r="J12" s="223"/>
    </row>
    <row r="13" spans="1:15" x14ac:dyDescent="0.4">
      <c r="A13" s="12"/>
      <c r="O13" s="1" t="s">
        <v>170</v>
      </c>
    </row>
  </sheetData>
  <mergeCells count="10">
    <mergeCell ref="A9:J9"/>
    <mergeCell ref="H10:J10"/>
    <mergeCell ref="H11:J11"/>
    <mergeCell ref="H12:J12"/>
    <mergeCell ref="A1:J1"/>
    <mergeCell ref="B2:C2"/>
    <mergeCell ref="E2:F2"/>
    <mergeCell ref="I2:J2"/>
    <mergeCell ref="B3:J4"/>
    <mergeCell ref="A5:D5"/>
  </mergeCells>
  <printOptions horizontalCentered="1"/>
  <pageMargins left="0.59055118110236215" right="0.59055118110236215" top="0.59055118110236215" bottom="0.59055118110236215" header="0.59055118110236215" footer="0.59055118110236215"/>
  <pageSetup paperSize="9" fitToWidth="0" fitToHeight="0"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BA901-1A58-4B3A-872D-A46AB964C44F}">
  <sheetPr codeName="Sheet27"/>
  <dimension ref="A1:O1021"/>
  <sheetViews>
    <sheetView showWhiteSpace="0" zoomScale="70" zoomScaleNormal="70" zoomScaleSheetLayoutView="40" zoomScalePageLayoutView="70" workbookViewId="0">
      <selection activeCell="N7" sqref="N7"/>
    </sheetView>
  </sheetViews>
  <sheetFormatPr defaultColWidth="8" defaultRowHeight="21" x14ac:dyDescent="0.4"/>
  <cols>
    <col min="1" max="1" width="6.69921875" style="1" customWidth="1"/>
    <col min="2" max="2" width="3.59765625" style="1" customWidth="1"/>
    <col min="3" max="3" width="8.59765625" style="1" customWidth="1"/>
    <col min="4" max="4" width="10.19921875" style="1" customWidth="1"/>
    <col min="5" max="5" width="8" style="1"/>
    <col min="6" max="6" width="7.8984375" style="1" customWidth="1"/>
    <col min="7" max="7" width="6.8984375" style="1" customWidth="1"/>
    <col min="8" max="8" width="6.19921875" style="1" customWidth="1"/>
    <col min="9" max="9" width="12.19921875" style="1" customWidth="1"/>
    <col min="10" max="10" width="7.69921875" style="2" customWidth="1"/>
    <col min="11" max="13" width="8" style="1"/>
    <col min="14" max="14" width="9.59765625" style="1" customWidth="1"/>
    <col min="15" max="18" width="8" style="1"/>
    <col min="19" max="19" width="10.5" style="1" customWidth="1"/>
    <col min="20" max="16384" width="8" style="1"/>
  </cols>
  <sheetData>
    <row r="1" spans="1:10" ht="23.4" x14ac:dyDescent="0.6">
      <c r="A1" s="274" t="s">
        <v>15</v>
      </c>
      <c r="B1" s="274"/>
      <c r="C1" s="274"/>
      <c r="D1" s="274"/>
      <c r="E1" s="274"/>
      <c r="F1" s="274"/>
      <c r="G1" s="274"/>
      <c r="H1" s="274"/>
      <c r="I1" s="274"/>
      <c r="J1" s="274"/>
    </row>
    <row r="2" spans="1:10" ht="23.4" x14ac:dyDescent="0.6">
      <c r="A2" s="179" t="s">
        <v>14</v>
      </c>
      <c r="B2" s="275"/>
      <c r="C2" s="275"/>
      <c r="D2" s="179" t="s">
        <v>46</v>
      </c>
      <c r="E2" s="270" t="str">
        <f>IF(หน้าหลัก!B5 &lt;&gt;"",หน้าหลัก!B5&amp;หน้าหลัก!E5,"")</f>
        <v>TF09-0A3/690796</v>
      </c>
      <c r="F2" s="270"/>
      <c r="G2" s="180" t="s">
        <v>13</v>
      </c>
      <c r="H2" s="180" t="s">
        <v>12</v>
      </c>
      <c r="I2" s="275"/>
      <c r="J2" s="275"/>
    </row>
    <row r="3" spans="1:10" ht="21" customHeight="1" x14ac:dyDescent="0.6">
      <c r="A3" s="179" t="s">
        <v>45</v>
      </c>
      <c r="B3" s="276" t="str">
        <f>IF(หน้าหลัก!B2="","",หน้าหลัก!B2&amp;" ")
&amp;IF(หน้าหลัก!B4="","","บ้านเลขที่ "&amp;หน้าหลัก!B4&amp;" ")
&amp;IF(หน้าหลัก!C4="","","หมู่ "&amp;หน้าหลัก!C4&amp;" ")
&amp;IF(หน้าหลัก!D4="","","ซอย "&amp;หน้าหลัก!D4&amp;"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
&amp;IF(หน้าหลัก!I4="","",หน้าหลัก!I4)</f>
        <v>แขวงทางหลวงสงขลาที่ 1 หน้าศูนย์กระจายสินค้า (จุดที่ 2) บ้านเลขที่ หน้าศูนย์กระจายสินค้า (จุดที่ 2) ตำบลท่าช้าง อำเภอบางกล่ำ จังหวัดสงขลา 90110</v>
      </c>
      <c r="C3" s="276"/>
      <c r="D3" s="276"/>
      <c r="E3" s="276"/>
      <c r="F3" s="276"/>
      <c r="G3" s="276"/>
      <c r="H3" s="276"/>
      <c r="I3" s="276"/>
      <c r="J3" s="276"/>
    </row>
    <row r="4" spans="1:10" ht="21.75" customHeight="1" thickBot="1" x14ac:dyDescent="0.65">
      <c r="A4" s="181"/>
      <c r="B4" s="277"/>
      <c r="C4" s="277"/>
      <c r="D4" s="277"/>
      <c r="E4" s="277"/>
      <c r="F4" s="277"/>
      <c r="G4" s="277"/>
      <c r="H4" s="277"/>
      <c r="I4" s="277"/>
      <c r="J4" s="277"/>
    </row>
    <row r="5" spans="1:10" ht="21.75" customHeight="1" thickTop="1" x14ac:dyDescent="0.6">
      <c r="A5" s="273" t="str">
        <f>หน้าหลัก!G5&amp;หน้าหลัก!I5</f>
        <v>C-69-L-HAYSR.0382</v>
      </c>
      <c r="B5" s="273"/>
      <c r="C5" s="273"/>
      <c r="D5" s="273"/>
      <c r="E5" s="180"/>
      <c r="F5" s="180"/>
      <c r="G5" s="182"/>
      <c r="H5" s="180"/>
      <c r="I5" s="180"/>
      <c r="J5" s="208"/>
    </row>
    <row r="6" spans="1:10" ht="21.75" customHeight="1" x14ac:dyDescent="0.6">
      <c r="A6" s="271" t="s">
        <v>11</v>
      </c>
      <c r="B6" s="271"/>
      <c r="C6" s="271"/>
      <c r="D6" s="271"/>
      <c r="E6" s="271"/>
      <c r="F6" s="271"/>
      <c r="G6" s="271"/>
      <c r="H6" s="271"/>
      <c r="I6" s="179"/>
      <c r="J6" s="207"/>
    </row>
    <row r="7" spans="1:10" ht="21.75" customHeight="1" x14ac:dyDescent="0.6">
      <c r="A7" s="216"/>
      <c r="B7" s="183" t="s">
        <v>126</v>
      </c>
      <c r="C7" s="268" t="s">
        <v>311</v>
      </c>
      <c r="D7" s="268"/>
      <c r="E7" s="268"/>
      <c r="F7" s="268"/>
      <c r="G7" s="268"/>
      <c r="H7" s="268"/>
      <c r="I7" s="184">
        <v>1413</v>
      </c>
      <c r="J7" s="208" t="s">
        <v>0</v>
      </c>
    </row>
    <row r="8" spans="1:10" ht="21.75" customHeight="1" thickBot="1" x14ac:dyDescent="0.65">
      <c r="A8" s="215"/>
      <c r="B8" s="185"/>
      <c r="C8" s="215"/>
      <c r="D8" s="271" t="s">
        <v>9</v>
      </c>
      <c r="E8" s="271"/>
      <c r="F8" s="271"/>
      <c r="G8" s="271"/>
      <c r="H8" s="271"/>
      <c r="I8" s="186">
        <v>1413</v>
      </c>
      <c r="J8" s="187" t="s">
        <v>0</v>
      </c>
    </row>
    <row r="9" spans="1:10" ht="21.75" customHeight="1" thickTop="1" x14ac:dyDescent="0.6">
      <c r="A9" s="271" t="s">
        <v>10</v>
      </c>
      <c r="B9" s="271"/>
      <c r="C9" s="271"/>
      <c r="D9" s="271"/>
      <c r="E9" s="271"/>
      <c r="F9" s="271"/>
      <c r="G9" s="271"/>
      <c r="H9" s="271"/>
      <c r="I9" s="206"/>
      <c r="J9" s="207"/>
    </row>
    <row r="10" spans="1:10" ht="21.75" customHeight="1" x14ac:dyDescent="0.6">
      <c r="A10" s="216"/>
      <c r="B10" s="183" t="s">
        <v>126</v>
      </c>
      <c r="C10" s="268" t="s">
        <v>303</v>
      </c>
      <c r="D10" s="268"/>
      <c r="E10" s="268"/>
      <c r="F10" s="268"/>
      <c r="G10" s="268"/>
      <c r="H10" s="268"/>
      <c r="I10" s="184">
        <v>150467.82999999999</v>
      </c>
      <c r="J10" s="208" t="s">
        <v>0</v>
      </c>
    </row>
    <row r="11" spans="1:10" ht="21.75" customHeight="1" x14ac:dyDescent="0.6">
      <c r="A11" s="216"/>
      <c r="B11" s="183" t="s">
        <v>127</v>
      </c>
      <c r="C11" s="268" t="s">
        <v>402</v>
      </c>
      <c r="D11" s="268"/>
      <c r="E11" s="268"/>
      <c r="F11" s="268"/>
      <c r="G11" s="268"/>
      <c r="H11" s="268"/>
      <c r="I11" s="184">
        <v>3000</v>
      </c>
      <c r="J11" s="208" t="s">
        <v>0</v>
      </c>
    </row>
    <row r="12" spans="1:10" ht="21.75" customHeight="1" x14ac:dyDescent="0.6">
      <c r="A12" s="216"/>
      <c r="B12" s="183" t="s">
        <v>138</v>
      </c>
      <c r="C12" s="268" t="s">
        <v>302</v>
      </c>
      <c r="D12" s="268"/>
      <c r="E12" s="268"/>
      <c r="F12" s="268"/>
      <c r="G12" s="268"/>
      <c r="H12" s="268"/>
      <c r="I12" s="184">
        <v>5708.25</v>
      </c>
      <c r="J12" s="208" t="s">
        <v>0</v>
      </c>
    </row>
    <row r="13" spans="1:10" ht="21.75" customHeight="1" thickBot="1" x14ac:dyDescent="0.65">
      <c r="A13" s="215"/>
      <c r="B13" s="185"/>
      <c r="C13" s="215"/>
      <c r="D13" s="271" t="s">
        <v>9</v>
      </c>
      <c r="E13" s="271"/>
      <c r="F13" s="271"/>
      <c r="G13" s="271"/>
      <c r="H13" s="271"/>
      <c r="I13" s="186">
        <v>159176.07999999999</v>
      </c>
      <c r="J13" s="187" t="s">
        <v>0</v>
      </c>
    </row>
    <row r="14" spans="1:10" ht="21.75" customHeight="1" thickTop="1" x14ac:dyDescent="0.6">
      <c r="A14" s="271" t="s">
        <v>118</v>
      </c>
      <c r="B14" s="271"/>
      <c r="C14" s="271"/>
      <c r="D14" s="271"/>
      <c r="E14" s="271"/>
      <c r="F14" s="271"/>
      <c r="G14" s="271"/>
      <c r="H14" s="271"/>
      <c r="I14" s="206"/>
      <c r="J14" s="207"/>
    </row>
    <row r="15" spans="1:10" ht="21.75" customHeight="1" x14ac:dyDescent="0.6">
      <c r="A15" s="216"/>
      <c r="B15" s="183" t="s">
        <v>126</v>
      </c>
      <c r="C15" s="268" t="s">
        <v>409</v>
      </c>
      <c r="D15" s="268"/>
      <c r="E15" s="268"/>
      <c r="F15" s="268"/>
      <c r="G15" s="268"/>
      <c r="H15" s="268"/>
      <c r="I15" s="184">
        <v>3000</v>
      </c>
      <c r="J15" s="208" t="s">
        <v>0</v>
      </c>
    </row>
    <row r="16" spans="1:10" ht="21.75" customHeight="1" x14ac:dyDescent="0.6">
      <c r="A16" s="216"/>
      <c r="B16" s="183" t="s">
        <v>127</v>
      </c>
      <c r="C16" s="268" t="s">
        <v>305</v>
      </c>
      <c r="D16" s="268"/>
      <c r="E16" s="268"/>
      <c r="F16" s="268"/>
      <c r="G16" s="268"/>
      <c r="H16" s="268"/>
      <c r="I16" s="184">
        <v>14000</v>
      </c>
      <c r="J16" s="208" t="s">
        <v>0</v>
      </c>
    </row>
    <row r="17" spans="1:15" ht="21.75" customHeight="1" x14ac:dyDescent="0.6">
      <c r="A17" s="216"/>
      <c r="B17" s="183" t="s">
        <v>138</v>
      </c>
      <c r="C17" s="268" t="s">
        <v>39</v>
      </c>
      <c r="D17" s="268"/>
      <c r="E17" s="268"/>
      <c r="F17" s="268"/>
      <c r="G17" s="268"/>
      <c r="H17" s="268"/>
      <c r="I17" s="184">
        <v>31835.22</v>
      </c>
      <c r="J17" s="208" t="s">
        <v>0</v>
      </c>
    </row>
    <row r="18" spans="1:15" ht="21.75" customHeight="1" thickBot="1" x14ac:dyDescent="0.65">
      <c r="A18" s="215"/>
      <c r="B18" s="185"/>
      <c r="C18" s="215"/>
      <c r="D18" s="271" t="s">
        <v>9</v>
      </c>
      <c r="E18" s="271"/>
      <c r="F18" s="271"/>
      <c r="G18" s="271"/>
      <c r="H18" s="271"/>
      <c r="I18" s="186">
        <v>48835.22</v>
      </c>
      <c r="J18" s="187" t="s">
        <v>0</v>
      </c>
    </row>
    <row r="19" spans="1:15" ht="20.399999999999999" customHeight="1" thickTop="1" x14ac:dyDescent="0.6">
      <c r="A19" s="180" t="s">
        <v>7</v>
      </c>
      <c r="B19" s="180"/>
      <c r="C19" s="180"/>
      <c r="D19" s="180"/>
      <c r="E19" s="180"/>
      <c r="F19" s="180"/>
      <c r="G19" s="182"/>
      <c r="H19" s="180"/>
      <c r="I19" s="184">
        <v>208011.3</v>
      </c>
      <c r="J19" s="208" t="s">
        <v>0</v>
      </c>
    </row>
    <row r="20" spans="1:15" ht="23.4" x14ac:dyDescent="0.6">
      <c r="A20" s="180" t="s">
        <v>8</v>
      </c>
      <c r="B20" s="180"/>
      <c r="C20" s="180"/>
      <c r="D20" s="180"/>
      <c r="E20" s="180"/>
      <c r="F20" s="180"/>
      <c r="G20" s="182"/>
      <c r="H20" s="180"/>
      <c r="I20" s="184">
        <v>14560.79</v>
      </c>
      <c r="J20" s="208" t="s">
        <v>0</v>
      </c>
    </row>
    <row r="21" spans="1:15" ht="24" thickBot="1" x14ac:dyDescent="0.65">
      <c r="A21" s="272" t="s">
        <v>332</v>
      </c>
      <c r="B21" s="272"/>
      <c r="C21" s="272"/>
      <c r="D21" s="272"/>
      <c r="E21" s="272"/>
      <c r="F21" s="272"/>
      <c r="G21" s="272"/>
      <c r="H21" s="272"/>
      <c r="I21" s="209">
        <v>222572.09</v>
      </c>
      <c r="J21" s="210" t="s">
        <v>0</v>
      </c>
    </row>
    <row r="22" spans="1:15" ht="24" thickTop="1" x14ac:dyDescent="0.6">
      <c r="A22" s="269" t="s">
        <v>334</v>
      </c>
      <c r="B22" s="269"/>
      <c r="C22" s="269"/>
      <c r="D22" s="269"/>
      <c r="E22" s="269"/>
      <c r="F22" s="269"/>
      <c r="G22" s="269"/>
      <c r="H22" s="269"/>
      <c r="I22" s="269"/>
      <c r="J22" s="269"/>
    </row>
    <row r="23" spans="1:15" ht="23.4" x14ac:dyDescent="0.6">
      <c r="A23" s="179"/>
      <c r="B23" s="180"/>
      <c r="C23" s="180"/>
      <c r="D23" s="180"/>
      <c r="E23" s="180"/>
      <c r="F23" s="179" t="s">
        <v>6</v>
      </c>
      <c r="G23" s="180"/>
      <c r="H23" s="270"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I23" s="270"/>
      <c r="J23" s="270"/>
    </row>
    <row r="24" spans="1:15" ht="23.4" x14ac:dyDescent="0.6">
      <c r="A24" s="179"/>
      <c r="B24" s="180"/>
      <c r="C24" s="180"/>
      <c r="D24" s="180"/>
      <c r="E24" s="180"/>
      <c r="F24" s="179" t="s">
        <v>5</v>
      </c>
      <c r="G24" s="180"/>
      <c r="H24" s="270"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I24" s="270"/>
      <c r="J24" s="270"/>
    </row>
    <row r="25" spans="1:15" ht="23.4" x14ac:dyDescent="0.6">
      <c r="A25" s="179"/>
      <c r="B25" s="180"/>
      <c r="C25" s="180"/>
      <c r="D25" s="180"/>
      <c r="E25" s="180"/>
      <c r="F25" s="179" t="s">
        <v>4</v>
      </c>
      <c r="G25" s="180"/>
      <c r="H25" s="270"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I25" s="270"/>
      <c r="J25" s="270"/>
    </row>
    <row r="26" spans="1:15" ht="23.4" x14ac:dyDescent="0.6">
      <c r="A26" s="179"/>
      <c r="B26" s="180"/>
      <c r="C26" s="180"/>
      <c r="D26" s="180"/>
      <c r="E26" s="180"/>
      <c r="F26" s="180"/>
      <c r="G26" s="180"/>
      <c r="H26" s="180"/>
      <c r="I26" s="180"/>
      <c r="J26" s="208"/>
      <c r="O26" s="1" t="s">
        <v>170</v>
      </c>
    </row>
    <row r="27" spans="1:15" ht="23.4" x14ac:dyDescent="0.6">
      <c r="A27" s="180"/>
      <c r="B27" s="180"/>
      <c r="C27" s="180"/>
      <c r="D27" s="180"/>
      <c r="E27" s="180"/>
      <c r="F27" s="180"/>
      <c r="G27" s="180"/>
      <c r="H27" s="180"/>
      <c r="I27" s="180"/>
      <c r="J27" s="208"/>
    </row>
    <row r="28" spans="1:15" ht="23.4" x14ac:dyDescent="0.6">
      <c r="A28" s="180"/>
      <c r="B28" s="180"/>
      <c r="C28" s="180"/>
      <c r="D28" s="180"/>
      <c r="E28" s="180"/>
      <c r="F28" s="180"/>
      <c r="G28" s="180"/>
      <c r="H28" s="180"/>
      <c r="I28" s="180"/>
      <c r="J28" s="208"/>
    </row>
    <row r="29" spans="1:15" ht="23.4" x14ac:dyDescent="0.6">
      <c r="A29" s="180"/>
      <c r="B29" s="180"/>
      <c r="C29" s="180"/>
      <c r="D29" s="180"/>
      <c r="E29" s="180"/>
      <c r="F29" s="180"/>
      <c r="G29" s="180"/>
      <c r="H29" s="180"/>
      <c r="I29" s="180"/>
      <c r="J29" s="208"/>
    </row>
    <row r="30" spans="1:15" ht="23.4" x14ac:dyDescent="0.6">
      <c r="A30" s="180"/>
      <c r="B30" s="180"/>
      <c r="C30" s="180"/>
      <c r="D30" s="180"/>
      <c r="E30" s="180"/>
      <c r="F30" s="180"/>
      <c r="G30" s="180"/>
      <c r="H30" s="180"/>
      <c r="I30" s="180"/>
      <c r="J30" s="208"/>
    </row>
    <row r="31" spans="1:15" ht="23.4" x14ac:dyDescent="0.6">
      <c r="A31" s="180"/>
      <c r="B31" s="180"/>
      <c r="C31" s="180"/>
      <c r="D31" s="180"/>
      <c r="E31" s="180"/>
      <c r="F31" s="180"/>
      <c r="G31" s="180"/>
      <c r="H31" s="180"/>
      <c r="I31" s="180"/>
      <c r="J31" s="208"/>
    </row>
    <row r="32" spans="1:15" ht="23.4" x14ac:dyDescent="0.6">
      <c r="A32" s="180"/>
      <c r="B32" s="180"/>
      <c r="C32" s="180"/>
      <c r="D32" s="180"/>
      <c r="E32" s="180"/>
      <c r="F32" s="180"/>
      <c r="G32" s="180"/>
      <c r="H32" s="180"/>
      <c r="I32" s="180"/>
      <c r="J32" s="208"/>
    </row>
    <row r="33" spans="1:10" ht="23.4" x14ac:dyDescent="0.6">
      <c r="A33" s="180"/>
      <c r="B33" s="180"/>
      <c r="C33" s="180"/>
      <c r="D33" s="180"/>
      <c r="E33" s="180"/>
      <c r="F33" s="180"/>
      <c r="G33" s="180"/>
      <c r="H33" s="180"/>
      <c r="I33" s="180"/>
      <c r="J33" s="208"/>
    </row>
    <row r="34" spans="1:10" ht="23.4" x14ac:dyDescent="0.6">
      <c r="A34" s="180"/>
      <c r="B34" s="180"/>
      <c r="C34" s="180"/>
      <c r="D34" s="180"/>
      <c r="E34" s="180"/>
      <c r="F34" s="180"/>
      <c r="G34" s="180"/>
      <c r="H34" s="180"/>
      <c r="I34" s="180"/>
      <c r="J34" s="208"/>
    </row>
    <row r="35" spans="1:10" ht="23.4" x14ac:dyDescent="0.6">
      <c r="A35" s="180"/>
      <c r="B35" s="180"/>
      <c r="C35" s="180"/>
      <c r="D35" s="180"/>
      <c r="E35" s="180"/>
      <c r="F35" s="180"/>
      <c r="G35" s="180"/>
      <c r="H35" s="180"/>
      <c r="I35" s="180"/>
      <c r="J35" s="208"/>
    </row>
    <row r="36" spans="1:10" ht="23.4" x14ac:dyDescent="0.6">
      <c r="A36" s="180"/>
      <c r="B36" s="180"/>
      <c r="C36" s="180"/>
      <c r="D36" s="180"/>
      <c r="E36" s="180"/>
      <c r="F36" s="180"/>
      <c r="G36" s="180"/>
      <c r="H36" s="180"/>
      <c r="I36" s="180"/>
      <c r="J36" s="208"/>
    </row>
    <row r="37" spans="1:10" ht="23.4" x14ac:dyDescent="0.6">
      <c r="A37" s="180"/>
      <c r="B37" s="180"/>
      <c r="C37" s="180"/>
      <c r="D37" s="180"/>
      <c r="E37" s="180"/>
      <c r="F37" s="180"/>
      <c r="G37" s="180"/>
      <c r="H37" s="180"/>
      <c r="I37" s="180"/>
      <c r="J37" s="208"/>
    </row>
    <row r="38" spans="1:10" ht="23.4" x14ac:dyDescent="0.6">
      <c r="A38" s="180"/>
      <c r="B38" s="180"/>
      <c r="C38" s="180"/>
      <c r="D38" s="180"/>
      <c r="E38" s="180"/>
      <c r="F38" s="180"/>
      <c r="G38" s="180"/>
      <c r="H38" s="180"/>
      <c r="I38" s="180"/>
      <c r="J38" s="208"/>
    </row>
    <row r="39" spans="1:10" ht="23.4" x14ac:dyDescent="0.6">
      <c r="A39" s="180"/>
      <c r="B39" s="180"/>
      <c r="C39" s="180"/>
      <c r="D39" s="180"/>
      <c r="E39" s="180"/>
      <c r="F39" s="180"/>
      <c r="G39" s="180"/>
      <c r="H39" s="180"/>
      <c r="I39" s="180"/>
      <c r="J39" s="208"/>
    </row>
    <row r="40" spans="1:10" ht="23.4" x14ac:dyDescent="0.6">
      <c r="A40" s="180"/>
      <c r="B40" s="180"/>
      <c r="C40" s="180"/>
      <c r="D40" s="180"/>
      <c r="E40" s="180"/>
      <c r="F40" s="180"/>
      <c r="G40" s="180"/>
      <c r="H40" s="180"/>
      <c r="I40" s="180"/>
      <c r="J40" s="208"/>
    </row>
    <row r="41" spans="1:10" ht="23.4" x14ac:dyDescent="0.6">
      <c r="A41" s="180"/>
      <c r="B41" s="180"/>
      <c r="C41" s="180"/>
      <c r="D41" s="180"/>
      <c r="E41" s="180"/>
      <c r="F41" s="180"/>
      <c r="G41" s="180"/>
      <c r="H41" s="180"/>
      <c r="I41" s="180"/>
      <c r="J41" s="208"/>
    </row>
    <row r="42" spans="1:10" ht="23.4" x14ac:dyDescent="0.6">
      <c r="A42" s="180"/>
      <c r="B42" s="180"/>
      <c r="C42" s="180"/>
      <c r="D42" s="180"/>
      <c r="E42" s="180"/>
      <c r="F42" s="180"/>
      <c r="G42" s="180"/>
      <c r="H42" s="180"/>
      <c r="I42" s="180"/>
      <c r="J42" s="208"/>
    </row>
    <row r="43" spans="1:10" ht="23.4" x14ac:dyDescent="0.6">
      <c r="A43" s="180"/>
      <c r="B43" s="180"/>
      <c r="C43" s="180"/>
      <c r="D43" s="180"/>
      <c r="E43" s="180"/>
      <c r="F43" s="180"/>
      <c r="G43" s="180"/>
      <c r="H43" s="180"/>
      <c r="I43" s="180"/>
      <c r="J43" s="208"/>
    </row>
    <row r="44" spans="1:10" ht="23.4" x14ac:dyDescent="0.6">
      <c r="A44" s="180"/>
      <c r="B44" s="180"/>
      <c r="C44" s="180"/>
      <c r="D44" s="180"/>
      <c r="E44" s="180"/>
      <c r="F44" s="180"/>
      <c r="G44" s="180"/>
      <c r="H44" s="180"/>
      <c r="I44" s="180"/>
      <c r="J44" s="208"/>
    </row>
    <row r="45" spans="1:10" ht="23.4" x14ac:dyDescent="0.6">
      <c r="A45" s="180"/>
      <c r="B45" s="180"/>
      <c r="C45" s="180"/>
      <c r="D45" s="180"/>
      <c r="E45" s="180"/>
      <c r="F45" s="180"/>
      <c r="G45" s="180"/>
      <c r="H45" s="180"/>
      <c r="I45" s="180"/>
      <c r="J45" s="208"/>
    </row>
    <row r="46" spans="1:10" ht="23.4" x14ac:dyDescent="0.6">
      <c r="A46" s="180"/>
      <c r="B46" s="180"/>
      <c r="C46" s="180"/>
      <c r="D46" s="180"/>
      <c r="E46" s="180"/>
      <c r="F46" s="180"/>
      <c r="G46" s="180"/>
      <c r="H46" s="180"/>
      <c r="I46" s="180"/>
      <c r="J46" s="208"/>
    </row>
    <row r="47" spans="1:10" ht="23.4" x14ac:dyDescent="0.6">
      <c r="A47" s="180"/>
      <c r="B47" s="180"/>
      <c r="C47" s="180"/>
      <c r="D47" s="180"/>
      <c r="E47" s="180"/>
      <c r="F47" s="180"/>
      <c r="G47" s="180"/>
      <c r="H47" s="180"/>
      <c r="I47" s="180"/>
      <c r="J47" s="208"/>
    </row>
    <row r="48" spans="1:10" ht="23.4" x14ac:dyDescent="0.6">
      <c r="A48" s="180"/>
      <c r="B48" s="180"/>
      <c r="C48" s="180"/>
      <c r="D48" s="180"/>
      <c r="E48" s="180"/>
      <c r="F48" s="180"/>
      <c r="G48" s="180"/>
      <c r="H48" s="180"/>
      <c r="I48" s="180"/>
      <c r="J48" s="208"/>
    </row>
    <row r="49" spans="1:10" ht="23.4" x14ac:dyDescent="0.6">
      <c r="A49" s="180"/>
      <c r="B49" s="180"/>
      <c r="C49" s="180"/>
      <c r="D49" s="180"/>
      <c r="E49" s="180"/>
      <c r="F49" s="180"/>
      <c r="G49" s="180"/>
      <c r="H49" s="180"/>
      <c r="I49" s="180"/>
      <c r="J49" s="208"/>
    </row>
    <row r="50" spans="1:10" ht="23.4" x14ac:dyDescent="0.6">
      <c r="A50" s="180"/>
      <c r="B50" s="180"/>
      <c r="C50" s="180"/>
      <c r="D50" s="180"/>
      <c r="E50" s="180"/>
      <c r="F50" s="180"/>
      <c r="G50" s="180"/>
      <c r="H50" s="180"/>
      <c r="I50" s="180"/>
      <c r="J50" s="208"/>
    </row>
    <row r="51" spans="1:10" ht="23.4" x14ac:dyDescent="0.6">
      <c r="A51" s="180"/>
      <c r="B51" s="180"/>
      <c r="C51" s="180"/>
      <c r="D51" s="180"/>
      <c r="E51" s="180"/>
      <c r="F51" s="180"/>
      <c r="G51" s="180"/>
      <c r="H51" s="180"/>
      <c r="I51" s="180"/>
      <c r="J51" s="208"/>
    </row>
    <row r="52" spans="1:10" ht="23.4" x14ac:dyDescent="0.6">
      <c r="A52" s="180"/>
      <c r="B52" s="180"/>
      <c r="C52" s="180"/>
      <c r="D52" s="180"/>
      <c r="E52" s="180"/>
      <c r="F52" s="180"/>
      <c r="G52" s="180"/>
      <c r="H52" s="180"/>
      <c r="I52" s="180"/>
      <c r="J52" s="208"/>
    </row>
    <row r="53" spans="1:10" ht="23.4" x14ac:dyDescent="0.6">
      <c r="A53" s="180"/>
      <c r="B53" s="180"/>
      <c r="C53" s="180"/>
      <c r="D53" s="180"/>
      <c r="E53" s="180"/>
      <c r="F53" s="180"/>
      <c r="G53" s="180"/>
      <c r="H53" s="180"/>
      <c r="I53" s="180"/>
      <c r="J53" s="208"/>
    </row>
    <row r="54" spans="1:10" ht="23.4" x14ac:dyDescent="0.6">
      <c r="A54" s="180"/>
      <c r="B54" s="180"/>
      <c r="C54" s="180"/>
      <c r="D54" s="180"/>
      <c r="E54" s="180"/>
      <c r="F54" s="180"/>
      <c r="G54" s="180"/>
      <c r="H54" s="180"/>
      <c r="I54" s="180"/>
      <c r="J54" s="208"/>
    </row>
    <row r="55" spans="1:10" ht="23.4" x14ac:dyDescent="0.6">
      <c r="A55" s="180"/>
      <c r="B55" s="180"/>
      <c r="C55" s="180"/>
      <c r="D55" s="180"/>
      <c r="E55" s="180"/>
      <c r="F55" s="180"/>
      <c r="G55" s="180"/>
      <c r="H55" s="180"/>
      <c r="I55" s="180"/>
      <c r="J55" s="208"/>
    </row>
    <row r="56" spans="1:10" ht="23.4" x14ac:dyDescent="0.6">
      <c r="A56" s="180"/>
      <c r="B56" s="180"/>
      <c r="C56" s="180"/>
      <c r="D56" s="180"/>
      <c r="E56" s="180"/>
      <c r="F56" s="180"/>
      <c r="G56" s="180"/>
      <c r="H56" s="180"/>
      <c r="I56" s="180"/>
      <c r="J56" s="208"/>
    </row>
    <row r="57" spans="1:10" ht="23.4" x14ac:dyDescent="0.6">
      <c r="A57" s="180"/>
      <c r="B57" s="180"/>
      <c r="C57" s="180"/>
      <c r="D57" s="180"/>
      <c r="E57" s="180"/>
      <c r="F57" s="180"/>
      <c r="G57" s="180"/>
      <c r="H57" s="180"/>
      <c r="I57" s="180"/>
      <c r="J57" s="208"/>
    </row>
    <row r="58" spans="1:10" ht="23.4" x14ac:dyDescent="0.6">
      <c r="A58" s="180"/>
      <c r="B58" s="180"/>
      <c r="C58" s="180"/>
      <c r="D58" s="180"/>
      <c r="E58" s="180"/>
      <c r="F58" s="180"/>
      <c r="G58" s="180"/>
      <c r="H58" s="180"/>
      <c r="I58" s="180"/>
      <c r="J58" s="208"/>
    </row>
    <row r="59" spans="1:10" ht="23.4" x14ac:dyDescent="0.6">
      <c r="A59" s="180"/>
      <c r="B59" s="180"/>
      <c r="C59" s="180"/>
      <c r="D59" s="180"/>
      <c r="E59" s="180"/>
      <c r="F59" s="180"/>
      <c r="G59" s="180"/>
      <c r="H59" s="180"/>
      <c r="I59" s="180"/>
      <c r="J59" s="208"/>
    </row>
    <row r="60" spans="1:10" ht="23.4" x14ac:dyDescent="0.6">
      <c r="A60" s="180"/>
      <c r="B60" s="180"/>
      <c r="C60" s="180"/>
      <c r="D60" s="180"/>
      <c r="E60" s="180"/>
      <c r="F60" s="180"/>
      <c r="G60" s="180"/>
      <c r="H60" s="180"/>
      <c r="I60" s="180"/>
      <c r="J60" s="208"/>
    </row>
    <row r="61" spans="1:10" ht="23.4" x14ac:dyDescent="0.6">
      <c r="A61" s="180"/>
      <c r="B61" s="180"/>
      <c r="C61" s="180"/>
      <c r="D61" s="180"/>
      <c r="E61" s="180"/>
      <c r="F61" s="180"/>
      <c r="G61" s="180"/>
      <c r="H61" s="180"/>
      <c r="I61" s="180"/>
      <c r="J61" s="208"/>
    </row>
    <row r="62" spans="1:10" ht="23.4" x14ac:dyDescent="0.6">
      <c r="A62" s="180"/>
      <c r="B62" s="180"/>
      <c r="C62" s="180"/>
      <c r="D62" s="180"/>
      <c r="E62" s="180"/>
      <c r="F62" s="180"/>
      <c r="G62" s="180"/>
      <c r="H62" s="180"/>
      <c r="I62" s="180"/>
      <c r="J62" s="208"/>
    </row>
    <row r="63" spans="1:10" ht="23.4" x14ac:dyDescent="0.6">
      <c r="A63" s="180"/>
      <c r="B63" s="180"/>
      <c r="C63" s="180"/>
      <c r="D63" s="180"/>
      <c r="E63" s="180"/>
      <c r="F63" s="180"/>
      <c r="G63" s="180"/>
      <c r="H63" s="180"/>
      <c r="I63" s="180"/>
      <c r="J63" s="208"/>
    </row>
    <row r="64" spans="1:10" ht="23.4" x14ac:dyDescent="0.6">
      <c r="A64" s="180"/>
      <c r="B64" s="180"/>
      <c r="C64" s="180"/>
      <c r="D64" s="180"/>
      <c r="E64" s="180"/>
      <c r="F64" s="180"/>
      <c r="G64" s="180"/>
      <c r="H64" s="180"/>
      <c r="I64" s="180"/>
      <c r="J64" s="208"/>
    </row>
    <row r="65" spans="1:10" ht="23.4" x14ac:dyDescent="0.6">
      <c r="A65" s="180"/>
      <c r="B65" s="180"/>
      <c r="C65" s="180"/>
      <c r="D65" s="180"/>
      <c r="E65" s="180"/>
      <c r="F65" s="180"/>
      <c r="G65" s="180"/>
      <c r="H65" s="180"/>
      <c r="I65" s="180"/>
      <c r="J65" s="208"/>
    </row>
    <row r="66" spans="1:10" ht="23.4" x14ac:dyDescent="0.6">
      <c r="A66" s="180"/>
      <c r="B66" s="180"/>
      <c r="C66" s="180"/>
      <c r="D66" s="180"/>
      <c r="E66" s="180"/>
      <c r="F66" s="180"/>
      <c r="G66" s="180"/>
      <c r="H66" s="180"/>
      <c r="I66" s="180"/>
      <c r="J66" s="208"/>
    </row>
    <row r="67" spans="1:10" ht="23.4" x14ac:dyDescent="0.6">
      <c r="A67" s="180"/>
      <c r="B67" s="180"/>
      <c r="C67" s="180"/>
      <c r="D67" s="180"/>
      <c r="E67" s="180"/>
      <c r="F67" s="180"/>
      <c r="G67" s="180"/>
      <c r="H67" s="180"/>
      <c r="I67" s="180"/>
      <c r="J67" s="208"/>
    </row>
    <row r="68" spans="1:10" ht="23.4" x14ac:dyDescent="0.6">
      <c r="A68" s="180"/>
      <c r="B68" s="180"/>
      <c r="C68" s="180"/>
      <c r="D68" s="180"/>
      <c r="E68" s="180"/>
      <c r="F68" s="180"/>
      <c r="G68" s="180"/>
      <c r="H68" s="180"/>
      <c r="I68" s="180"/>
      <c r="J68" s="208"/>
    </row>
    <row r="69" spans="1:10" ht="23.4" x14ac:dyDescent="0.6">
      <c r="A69" s="180"/>
      <c r="B69" s="180"/>
      <c r="C69" s="180"/>
      <c r="D69" s="180"/>
      <c r="E69" s="180"/>
      <c r="F69" s="180"/>
      <c r="G69" s="180"/>
      <c r="H69" s="180"/>
      <c r="I69" s="180"/>
      <c r="J69" s="208"/>
    </row>
    <row r="70" spans="1:10" ht="23.4" x14ac:dyDescent="0.6">
      <c r="A70" s="180"/>
      <c r="B70" s="180"/>
      <c r="C70" s="180"/>
      <c r="D70" s="180"/>
      <c r="E70" s="180"/>
      <c r="F70" s="180"/>
      <c r="G70" s="180"/>
      <c r="H70" s="180"/>
      <c r="I70" s="180"/>
      <c r="J70" s="208"/>
    </row>
    <row r="71" spans="1:10" ht="23.4" x14ac:dyDescent="0.6">
      <c r="A71" s="180"/>
      <c r="B71" s="180"/>
      <c r="C71" s="180"/>
      <c r="D71" s="180"/>
      <c r="E71" s="180"/>
      <c r="F71" s="180"/>
      <c r="G71" s="180"/>
      <c r="H71" s="180"/>
      <c r="I71" s="180"/>
      <c r="J71" s="208"/>
    </row>
    <row r="72" spans="1:10" ht="23.4" x14ac:dyDescent="0.6">
      <c r="A72" s="180"/>
      <c r="B72" s="180"/>
      <c r="C72" s="180"/>
      <c r="D72" s="180"/>
      <c r="E72" s="180"/>
      <c r="F72" s="180"/>
      <c r="G72" s="180"/>
      <c r="H72" s="180"/>
      <c r="I72" s="180"/>
      <c r="J72" s="208"/>
    </row>
    <row r="73" spans="1:10" ht="23.4" x14ac:dyDescent="0.6">
      <c r="A73" s="180"/>
      <c r="B73" s="180"/>
      <c r="C73" s="180"/>
      <c r="D73" s="180"/>
      <c r="E73" s="180"/>
      <c r="F73" s="180"/>
      <c r="G73" s="180"/>
      <c r="H73" s="180"/>
      <c r="I73" s="180"/>
      <c r="J73" s="208"/>
    </row>
    <row r="74" spans="1:10" ht="23.4" x14ac:dyDescent="0.6">
      <c r="A74" s="180"/>
      <c r="B74" s="180"/>
      <c r="C74" s="180"/>
      <c r="D74" s="180"/>
      <c r="E74" s="180"/>
      <c r="F74" s="180"/>
      <c r="G74" s="180"/>
      <c r="H74" s="180"/>
      <c r="I74" s="180"/>
      <c r="J74" s="208"/>
    </row>
    <row r="75" spans="1:10" ht="23.4" x14ac:dyDescent="0.6">
      <c r="A75" s="180"/>
      <c r="B75" s="180"/>
      <c r="C75" s="180"/>
      <c r="D75" s="180"/>
      <c r="E75" s="180"/>
      <c r="F75" s="180"/>
      <c r="G75" s="180"/>
      <c r="H75" s="180"/>
      <c r="I75" s="180"/>
      <c r="J75" s="208"/>
    </row>
    <row r="76" spans="1:10" ht="23.4" x14ac:dyDescent="0.6">
      <c r="A76" s="180"/>
      <c r="B76" s="180"/>
      <c r="C76" s="180"/>
      <c r="D76" s="180"/>
      <c r="E76" s="180"/>
      <c r="F76" s="180"/>
      <c r="G76" s="180"/>
      <c r="H76" s="180"/>
      <c r="I76" s="180"/>
      <c r="J76" s="208"/>
    </row>
    <row r="77" spans="1:10" ht="23.4" x14ac:dyDescent="0.6">
      <c r="A77" s="180"/>
      <c r="B77" s="180"/>
      <c r="C77" s="180"/>
      <c r="D77" s="180"/>
      <c r="E77" s="180"/>
      <c r="F77" s="180"/>
      <c r="G77" s="180"/>
      <c r="H77" s="180"/>
      <c r="I77" s="180"/>
      <c r="J77" s="208"/>
    </row>
    <row r="78" spans="1:10" ht="23.4" x14ac:dyDescent="0.6">
      <c r="A78" s="180"/>
      <c r="B78" s="180"/>
      <c r="C78" s="180"/>
      <c r="D78" s="180"/>
      <c r="E78" s="180"/>
      <c r="F78" s="180"/>
      <c r="G78" s="180"/>
      <c r="H78" s="180"/>
      <c r="I78" s="180"/>
      <c r="J78" s="208"/>
    </row>
    <row r="79" spans="1:10" ht="23.4" x14ac:dyDescent="0.6">
      <c r="A79" s="180"/>
      <c r="B79" s="180"/>
      <c r="C79" s="180"/>
      <c r="D79" s="180"/>
      <c r="E79" s="180"/>
      <c r="F79" s="180"/>
      <c r="G79" s="180"/>
      <c r="H79" s="180"/>
      <c r="I79" s="180"/>
      <c r="J79" s="208"/>
    </row>
    <row r="80" spans="1:10" ht="23.4" x14ac:dyDescent="0.6">
      <c r="A80" s="180"/>
      <c r="B80" s="180"/>
      <c r="C80" s="180"/>
      <c r="D80" s="180"/>
      <c r="E80" s="180"/>
      <c r="F80" s="180"/>
      <c r="G80" s="180"/>
      <c r="H80" s="180"/>
      <c r="I80" s="180"/>
      <c r="J80" s="208"/>
    </row>
    <row r="81" spans="1:10" ht="23.4" x14ac:dyDescent="0.6">
      <c r="A81" s="180"/>
      <c r="B81" s="180"/>
      <c r="C81" s="180"/>
      <c r="D81" s="180"/>
      <c r="E81" s="180"/>
      <c r="F81" s="180"/>
      <c r="G81" s="180"/>
      <c r="H81" s="180"/>
      <c r="I81" s="180"/>
      <c r="J81" s="208"/>
    </row>
    <row r="82" spans="1:10" ht="23.4" x14ac:dyDescent="0.6">
      <c r="A82" s="180"/>
      <c r="B82" s="180"/>
      <c r="C82" s="180"/>
      <c r="D82" s="180"/>
      <c r="E82" s="180"/>
      <c r="F82" s="180"/>
      <c r="G82" s="180"/>
      <c r="H82" s="180"/>
      <c r="I82" s="180"/>
      <c r="J82" s="208"/>
    </row>
    <row r="83" spans="1:10" ht="23.4" x14ac:dyDescent="0.6">
      <c r="A83" s="180"/>
      <c r="B83" s="180"/>
      <c r="C83" s="180"/>
      <c r="D83" s="180"/>
      <c r="E83" s="180"/>
      <c r="F83" s="180"/>
      <c r="G83" s="180"/>
      <c r="H83" s="180"/>
      <c r="I83" s="180"/>
      <c r="J83" s="208"/>
    </row>
    <row r="84" spans="1:10" ht="23.4" x14ac:dyDescent="0.6">
      <c r="A84" s="180"/>
      <c r="B84" s="180"/>
      <c r="C84" s="180"/>
      <c r="D84" s="180"/>
      <c r="E84" s="180"/>
      <c r="F84" s="180"/>
      <c r="G84" s="180"/>
      <c r="H84" s="180"/>
      <c r="I84" s="180"/>
      <c r="J84" s="208"/>
    </row>
    <row r="85" spans="1:10" ht="23.4" x14ac:dyDescent="0.6">
      <c r="A85" s="180"/>
      <c r="B85" s="180"/>
      <c r="C85" s="180"/>
      <c r="D85" s="180"/>
      <c r="E85" s="180"/>
      <c r="F85" s="180"/>
      <c r="G85" s="180"/>
      <c r="H85" s="180"/>
      <c r="I85" s="180"/>
      <c r="J85" s="208"/>
    </row>
    <row r="86" spans="1:10" ht="23.4" x14ac:dyDescent="0.6">
      <c r="A86" s="180"/>
      <c r="B86" s="180"/>
      <c r="C86" s="180"/>
      <c r="D86" s="180"/>
      <c r="E86" s="180"/>
      <c r="F86" s="180"/>
      <c r="G86" s="180"/>
      <c r="H86" s="180"/>
      <c r="I86" s="180"/>
      <c r="J86" s="208"/>
    </row>
    <row r="87" spans="1:10" ht="23.4" x14ac:dyDescent="0.6">
      <c r="A87" s="180"/>
      <c r="B87" s="180"/>
      <c r="C87" s="180"/>
      <c r="D87" s="180"/>
      <c r="E87" s="180"/>
      <c r="F87" s="180"/>
      <c r="G87" s="180"/>
      <c r="H87" s="180"/>
      <c r="I87" s="180"/>
      <c r="J87" s="208"/>
    </row>
    <row r="88" spans="1:10" ht="23.4" x14ac:dyDescent="0.6">
      <c r="A88" s="180"/>
      <c r="B88" s="180"/>
      <c r="C88" s="180"/>
      <c r="D88" s="180"/>
      <c r="E88" s="180"/>
      <c r="F88" s="180"/>
      <c r="G88" s="180"/>
      <c r="H88" s="180"/>
      <c r="I88" s="180"/>
      <c r="J88" s="208"/>
    </row>
    <row r="89" spans="1:10" ht="23.4" x14ac:dyDescent="0.6">
      <c r="A89" s="180"/>
      <c r="B89" s="180"/>
      <c r="C89" s="180"/>
      <c r="D89" s="180"/>
      <c r="E89" s="180"/>
      <c r="F89" s="180"/>
      <c r="G89" s="180"/>
      <c r="H89" s="180"/>
      <c r="I89" s="180"/>
      <c r="J89" s="208"/>
    </row>
    <row r="90" spans="1:10" ht="23.4" x14ac:dyDescent="0.6">
      <c r="A90" s="180"/>
      <c r="B90" s="180"/>
      <c r="C90" s="180"/>
      <c r="D90" s="180"/>
      <c r="E90" s="180"/>
      <c r="F90" s="180"/>
      <c r="G90" s="180"/>
      <c r="H90" s="180"/>
      <c r="I90" s="180"/>
      <c r="J90" s="208"/>
    </row>
    <row r="91" spans="1:10" ht="23.4" x14ac:dyDescent="0.6">
      <c r="A91" s="180"/>
      <c r="B91" s="180"/>
      <c r="C91" s="180"/>
      <c r="D91" s="180"/>
      <c r="E91" s="180"/>
      <c r="F91" s="180"/>
      <c r="G91" s="180"/>
      <c r="H91" s="180"/>
      <c r="I91" s="180"/>
      <c r="J91" s="208"/>
    </row>
    <row r="92" spans="1:10" ht="23.4" x14ac:dyDescent="0.6">
      <c r="A92" s="180"/>
      <c r="B92" s="180"/>
      <c r="C92" s="180"/>
      <c r="D92" s="180"/>
      <c r="E92" s="180"/>
      <c r="F92" s="180"/>
      <c r="G92" s="180"/>
      <c r="H92" s="180"/>
      <c r="I92" s="180"/>
      <c r="J92" s="208"/>
    </row>
    <row r="93" spans="1:10" ht="23.4" x14ac:dyDescent="0.6">
      <c r="A93" s="180"/>
      <c r="B93" s="180"/>
      <c r="C93" s="180"/>
      <c r="D93" s="180"/>
      <c r="E93" s="180"/>
      <c r="F93" s="180"/>
      <c r="G93" s="180"/>
      <c r="H93" s="180"/>
      <c r="I93" s="180"/>
      <c r="J93" s="208"/>
    </row>
    <row r="94" spans="1:10" ht="23.4" x14ac:dyDescent="0.6">
      <c r="A94" s="180"/>
      <c r="B94" s="180"/>
      <c r="C94" s="180"/>
      <c r="D94" s="180"/>
      <c r="E94" s="180"/>
      <c r="F94" s="180"/>
      <c r="G94" s="180"/>
      <c r="H94" s="180"/>
      <c r="I94" s="180"/>
      <c r="J94" s="208"/>
    </row>
    <row r="95" spans="1:10" ht="23.4" x14ac:dyDescent="0.6">
      <c r="A95" s="180"/>
      <c r="B95" s="180"/>
      <c r="C95" s="180"/>
      <c r="D95" s="180"/>
      <c r="E95" s="180"/>
      <c r="F95" s="180"/>
      <c r="G95" s="180"/>
      <c r="H95" s="180"/>
      <c r="I95" s="180"/>
      <c r="J95" s="208"/>
    </row>
    <row r="96" spans="1:10" ht="23.4" x14ac:dyDescent="0.6">
      <c r="A96" s="180"/>
      <c r="B96" s="180"/>
      <c r="C96" s="180"/>
      <c r="D96" s="180"/>
      <c r="E96" s="180"/>
      <c r="F96" s="180"/>
      <c r="G96" s="180"/>
      <c r="H96" s="180"/>
      <c r="I96" s="180"/>
      <c r="J96" s="208"/>
    </row>
    <row r="97" spans="1:10" ht="23.4" x14ac:dyDescent="0.6">
      <c r="A97" s="180"/>
      <c r="B97" s="180"/>
      <c r="C97" s="180"/>
      <c r="D97" s="180"/>
      <c r="E97" s="180"/>
      <c r="F97" s="180"/>
      <c r="G97" s="180"/>
      <c r="H97" s="180"/>
      <c r="I97" s="180"/>
      <c r="J97" s="208"/>
    </row>
    <row r="98" spans="1:10" ht="23.4" x14ac:dyDescent="0.6">
      <c r="A98" s="180"/>
      <c r="B98" s="180"/>
      <c r="C98" s="180"/>
      <c r="D98" s="180"/>
      <c r="E98" s="180"/>
      <c r="F98" s="180"/>
      <c r="G98" s="180"/>
      <c r="H98" s="180"/>
      <c r="I98" s="180"/>
      <c r="J98" s="208"/>
    </row>
    <row r="99" spans="1:10" ht="23.4" x14ac:dyDescent="0.6">
      <c r="A99" s="180"/>
      <c r="B99" s="180"/>
      <c r="C99" s="180"/>
      <c r="D99" s="180"/>
      <c r="E99" s="180"/>
      <c r="F99" s="180"/>
      <c r="G99" s="180"/>
      <c r="H99" s="180"/>
      <c r="I99" s="180"/>
      <c r="J99" s="208"/>
    </row>
    <row r="100" spans="1:10" ht="23.4" x14ac:dyDescent="0.6">
      <c r="A100" s="180"/>
      <c r="B100" s="180"/>
      <c r="C100" s="180"/>
      <c r="D100" s="180"/>
      <c r="E100" s="180"/>
      <c r="F100" s="180"/>
      <c r="G100" s="180"/>
      <c r="H100" s="180"/>
      <c r="I100" s="180"/>
      <c r="J100" s="208"/>
    </row>
    <row r="101" spans="1:10" ht="23.4" x14ac:dyDescent="0.6">
      <c r="A101" s="180"/>
      <c r="B101" s="180"/>
      <c r="C101" s="180"/>
      <c r="D101" s="180"/>
      <c r="E101" s="180"/>
      <c r="F101" s="180"/>
      <c r="G101" s="180"/>
      <c r="H101" s="180"/>
      <c r="I101" s="180"/>
      <c r="J101" s="208"/>
    </row>
    <row r="102" spans="1:10" ht="23.4" x14ac:dyDescent="0.6">
      <c r="A102" s="180"/>
      <c r="B102" s="180"/>
      <c r="C102" s="180"/>
      <c r="D102" s="180"/>
      <c r="E102" s="180"/>
      <c r="F102" s="180"/>
      <c r="G102" s="180"/>
      <c r="H102" s="180"/>
      <c r="I102" s="180"/>
      <c r="J102" s="208"/>
    </row>
    <row r="103" spans="1:10" ht="23.4" x14ac:dyDescent="0.6">
      <c r="A103" s="180"/>
      <c r="B103" s="180"/>
      <c r="C103" s="180"/>
      <c r="D103" s="180"/>
      <c r="E103" s="180"/>
      <c r="F103" s="180"/>
      <c r="G103" s="180"/>
      <c r="H103" s="180"/>
      <c r="I103" s="180"/>
      <c r="J103" s="208"/>
    </row>
    <row r="104" spans="1:10" ht="23.4" x14ac:dyDescent="0.6">
      <c r="A104" s="180"/>
      <c r="B104" s="180"/>
      <c r="C104" s="180"/>
      <c r="D104" s="180"/>
      <c r="E104" s="180"/>
      <c r="F104" s="180"/>
      <c r="G104" s="180"/>
      <c r="H104" s="180"/>
      <c r="I104" s="180"/>
      <c r="J104" s="208"/>
    </row>
    <row r="105" spans="1:10" ht="23.4" x14ac:dyDescent="0.6">
      <c r="A105" s="180"/>
      <c r="B105" s="180"/>
      <c r="C105" s="180"/>
      <c r="D105" s="180"/>
      <c r="E105" s="180"/>
      <c r="F105" s="180"/>
      <c r="G105" s="180"/>
      <c r="H105" s="180"/>
      <c r="I105" s="180"/>
      <c r="J105" s="208"/>
    </row>
    <row r="106" spans="1:10" ht="23.4" x14ac:dyDescent="0.6">
      <c r="A106" s="180"/>
      <c r="B106" s="180"/>
      <c r="C106" s="180"/>
      <c r="D106" s="180"/>
      <c r="E106" s="180"/>
      <c r="F106" s="180"/>
      <c r="G106" s="180"/>
      <c r="H106" s="180"/>
      <c r="I106" s="180"/>
      <c r="J106" s="208"/>
    </row>
    <row r="107" spans="1:10" ht="23.4" x14ac:dyDescent="0.6">
      <c r="A107" s="180"/>
      <c r="B107" s="180"/>
      <c r="C107" s="180"/>
      <c r="D107" s="180"/>
      <c r="E107" s="180"/>
      <c r="F107" s="180"/>
      <c r="G107" s="180"/>
      <c r="H107" s="180"/>
      <c r="I107" s="180"/>
      <c r="J107" s="208"/>
    </row>
    <row r="108" spans="1:10" ht="23.4" x14ac:dyDescent="0.6">
      <c r="A108" s="180"/>
      <c r="B108" s="180"/>
      <c r="C108" s="180"/>
      <c r="D108" s="180"/>
      <c r="E108" s="180"/>
      <c r="F108" s="180"/>
      <c r="G108" s="180"/>
      <c r="H108" s="180"/>
      <c r="I108" s="180"/>
      <c r="J108" s="208"/>
    </row>
    <row r="109" spans="1:10" ht="23.4" x14ac:dyDescent="0.6">
      <c r="A109" s="180"/>
      <c r="B109" s="180"/>
      <c r="C109" s="180"/>
      <c r="D109" s="180"/>
      <c r="E109" s="180"/>
      <c r="F109" s="180"/>
      <c r="G109" s="180"/>
      <c r="H109" s="180"/>
      <c r="I109" s="180"/>
      <c r="J109" s="208"/>
    </row>
    <row r="110" spans="1:10" ht="23.4" x14ac:dyDescent="0.6">
      <c r="A110" s="180"/>
      <c r="B110" s="180"/>
      <c r="C110" s="180"/>
      <c r="D110" s="180"/>
      <c r="E110" s="180"/>
      <c r="F110" s="180"/>
      <c r="G110" s="180"/>
      <c r="H110" s="180"/>
      <c r="I110" s="180"/>
      <c r="J110" s="208"/>
    </row>
    <row r="111" spans="1:10" ht="23.4" x14ac:dyDescent="0.6">
      <c r="A111" s="180"/>
      <c r="B111" s="180"/>
      <c r="C111" s="180"/>
      <c r="D111" s="180"/>
      <c r="E111" s="180"/>
      <c r="F111" s="180"/>
      <c r="G111" s="180"/>
      <c r="H111" s="180"/>
      <c r="I111" s="180"/>
      <c r="J111" s="208"/>
    </row>
    <row r="112" spans="1:10" ht="23.4" x14ac:dyDescent="0.6">
      <c r="A112" s="180"/>
      <c r="B112" s="180"/>
      <c r="C112" s="180"/>
      <c r="D112" s="180"/>
      <c r="E112" s="180"/>
      <c r="F112" s="180"/>
      <c r="G112" s="180"/>
      <c r="H112" s="180"/>
      <c r="I112" s="180"/>
      <c r="J112" s="208"/>
    </row>
    <row r="113" spans="1:10" ht="23.4" x14ac:dyDescent="0.6">
      <c r="A113" s="180"/>
      <c r="B113" s="180"/>
      <c r="C113" s="180"/>
      <c r="D113" s="180"/>
      <c r="E113" s="180"/>
      <c r="F113" s="180"/>
      <c r="G113" s="180"/>
      <c r="H113" s="180"/>
      <c r="I113" s="180"/>
      <c r="J113" s="208"/>
    </row>
    <row r="114" spans="1:10" ht="23.4" x14ac:dyDescent="0.6">
      <c r="A114" s="180"/>
      <c r="B114" s="180"/>
      <c r="C114" s="180"/>
      <c r="D114" s="180"/>
      <c r="E114" s="180"/>
      <c r="F114" s="180"/>
      <c r="G114" s="180"/>
      <c r="H114" s="180"/>
      <c r="I114" s="180"/>
      <c r="J114" s="208"/>
    </row>
    <row r="115" spans="1:10" ht="23.4" x14ac:dyDescent="0.6">
      <c r="A115" s="180"/>
      <c r="B115" s="180"/>
      <c r="C115" s="180"/>
      <c r="D115" s="180"/>
      <c r="E115" s="180"/>
      <c r="F115" s="180"/>
      <c r="G115" s="180"/>
      <c r="H115" s="180"/>
      <c r="I115" s="180"/>
      <c r="J115" s="208"/>
    </row>
    <row r="116" spans="1:10" ht="23.4" x14ac:dyDescent="0.6">
      <c r="A116" s="180"/>
      <c r="B116" s="180"/>
      <c r="C116" s="180"/>
      <c r="D116" s="180"/>
      <c r="E116" s="180"/>
      <c r="F116" s="180"/>
      <c r="G116" s="180"/>
      <c r="H116" s="180"/>
      <c r="I116" s="180"/>
      <c r="J116" s="208"/>
    </row>
    <row r="117" spans="1:10" ht="23.4" x14ac:dyDescent="0.6">
      <c r="A117" s="180"/>
      <c r="B117" s="180"/>
      <c r="C117" s="180"/>
      <c r="D117" s="180"/>
      <c r="E117" s="180"/>
      <c r="F117" s="180"/>
      <c r="G117" s="180"/>
      <c r="H117" s="180"/>
      <c r="I117" s="180"/>
      <c r="J117" s="208"/>
    </row>
    <row r="118" spans="1:10" ht="23.4" x14ac:dyDescent="0.6">
      <c r="A118" s="180"/>
      <c r="B118" s="180"/>
      <c r="C118" s="180"/>
      <c r="D118" s="180"/>
      <c r="E118" s="180"/>
      <c r="F118" s="180"/>
      <c r="G118" s="180"/>
      <c r="H118" s="180"/>
      <c r="I118" s="180"/>
      <c r="J118" s="208"/>
    </row>
    <row r="119" spans="1:10" ht="23.4" x14ac:dyDescent="0.6">
      <c r="A119" s="180"/>
      <c r="B119" s="180"/>
      <c r="C119" s="180"/>
      <c r="D119" s="180"/>
      <c r="E119" s="180"/>
      <c r="F119" s="180"/>
      <c r="G119" s="180"/>
      <c r="H119" s="180"/>
      <c r="I119" s="180"/>
      <c r="J119" s="208"/>
    </row>
    <row r="120" spans="1:10" ht="23.4" x14ac:dyDescent="0.6">
      <c r="A120" s="180"/>
      <c r="B120" s="180"/>
      <c r="C120" s="180"/>
      <c r="D120" s="180"/>
      <c r="E120" s="180"/>
      <c r="F120" s="180"/>
      <c r="G120" s="180"/>
      <c r="H120" s="180"/>
      <c r="I120" s="180"/>
      <c r="J120" s="208"/>
    </row>
    <row r="121" spans="1:10" ht="23.4" x14ac:dyDescent="0.6">
      <c r="A121" s="180"/>
      <c r="B121" s="180"/>
      <c r="C121" s="180"/>
      <c r="D121" s="180"/>
      <c r="E121" s="180"/>
      <c r="F121" s="180"/>
      <c r="G121" s="180"/>
      <c r="H121" s="180"/>
      <c r="I121" s="180"/>
      <c r="J121" s="208"/>
    </row>
    <row r="122" spans="1:10" ht="23.4" x14ac:dyDescent="0.6">
      <c r="A122" s="180"/>
      <c r="B122" s="180"/>
      <c r="C122" s="180"/>
      <c r="D122" s="180"/>
      <c r="E122" s="180"/>
      <c r="F122" s="180"/>
      <c r="G122" s="180"/>
      <c r="H122" s="180"/>
      <c r="I122" s="180"/>
      <c r="J122" s="208"/>
    </row>
    <row r="123" spans="1:10" ht="23.4" x14ac:dyDescent="0.6">
      <c r="A123" s="180"/>
      <c r="B123" s="180"/>
      <c r="C123" s="180"/>
      <c r="D123" s="180"/>
      <c r="E123" s="180"/>
      <c r="F123" s="180"/>
      <c r="G123" s="180"/>
      <c r="H123" s="180"/>
      <c r="I123" s="180"/>
      <c r="J123" s="208"/>
    </row>
    <row r="124" spans="1:10" ht="23.4" x14ac:dyDescent="0.6">
      <c r="A124" s="180"/>
      <c r="B124" s="180"/>
      <c r="C124" s="180"/>
      <c r="D124" s="180"/>
      <c r="E124" s="180"/>
      <c r="F124" s="180"/>
      <c r="G124" s="180"/>
      <c r="H124" s="180"/>
      <c r="I124" s="180"/>
      <c r="J124" s="208"/>
    </row>
    <row r="125" spans="1:10" ht="23.4" x14ac:dyDescent="0.6">
      <c r="A125" s="180"/>
      <c r="B125" s="180"/>
      <c r="C125" s="180"/>
      <c r="D125" s="180"/>
      <c r="E125" s="180"/>
      <c r="F125" s="180"/>
      <c r="G125" s="180"/>
      <c r="H125" s="180"/>
      <c r="I125" s="180"/>
      <c r="J125" s="208"/>
    </row>
    <row r="126" spans="1:10" ht="23.4" x14ac:dyDescent="0.6">
      <c r="A126" s="180"/>
      <c r="B126" s="180"/>
      <c r="C126" s="180"/>
      <c r="D126" s="180"/>
      <c r="E126" s="180"/>
      <c r="F126" s="180"/>
      <c r="G126" s="180"/>
      <c r="H126" s="180"/>
      <c r="I126" s="180"/>
      <c r="J126" s="208"/>
    </row>
    <row r="127" spans="1:10" ht="23.4" x14ac:dyDescent="0.6">
      <c r="A127" s="180"/>
      <c r="B127" s="180"/>
      <c r="C127" s="180"/>
      <c r="D127" s="180"/>
      <c r="E127" s="180"/>
      <c r="F127" s="180"/>
      <c r="G127" s="180"/>
      <c r="H127" s="180"/>
      <c r="I127" s="180"/>
      <c r="J127" s="208"/>
    </row>
    <row r="128" spans="1:10" ht="23.4" x14ac:dyDescent="0.6">
      <c r="A128" s="180"/>
      <c r="B128" s="180"/>
      <c r="C128" s="180"/>
      <c r="D128" s="180"/>
      <c r="E128" s="180"/>
      <c r="F128" s="180"/>
      <c r="G128" s="180"/>
      <c r="H128" s="180"/>
      <c r="I128" s="180"/>
      <c r="J128" s="208"/>
    </row>
    <row r="129" spans="1:10" ht="23.4" x14ac:dyDescent="0.6">
      <c r="A129" s="180"/>
      <c r="B129" s="180"/>
      <c r="C129" s="180"/>
      <c r="D129" s="180"/>
      <c r="E129" s="180"/>
      <c r="F129" s="180"/>
      <c r="G129" s="180"/>
      <c r="H129" s="180"/>
      <c r="I129" s="180"/>
      <c r="J129" s="208"/>
    </row>
    <row r="130" spans="1:10" ht="23.4" x14ac:dyDescent="0.6">
      <c r="A130" s="180"/>
      <c r="B130" s="180"/>
      <c r="C130" s="180"/>
      <c r="D130" s="180"/>
      <c r="E130" s="180"/>
      <c r="F130" s="180"/>
      <c r="G130" s="180"/>
      <c r="H130" s="180"/>
      <c r="I130" s="180"/>
      <c r="J130" s="208"/>
    </row>
    <row r="131" spans="1:10" ht="23.4" x14ac:dyDescent="0.6">
      <c r="A131" s="180"/>
      <c r="B131" s="180"/>
      <c r="C131" s="180"/>
      <c r="D131" s="180"/>
      <c r="E131" s="180"/>
      <c r="F131" s="180"/>
      <c r="G131" s="180"/>
      <c r="H131" s="180"/>
      <c r="I131" s="180"/>
      <c r="J131" s="208"/>
    </row>
    <row r="132" spans="1:10" ht="23.4" x14ac:dyDescent="0.6">
      <c r="A132" s="180"/>
      <c r="B132" s="180"/>
      <c r="C132" s="180"/>
      <c r="D132" s="180"/>
      <c r="E132" s="180"/>
      <c r="F132" s="180"/>
      <c r="G132" s="180"/>
      <c r="H132" s="180"/>
      <c r="I132" s="180"/>
      <c r="J132" s="208"/>
    </row>
    <row r="133" spans="1:10" ht="23.4" x14ac:dyDescent="0.6">
      <c r="A133" s="180"/>
      <c r="B133" s="180"/>
      <c r="C133" s="180"/>
      <c r="D133" s="180"/>
      <c r="E133" s="180"/>
      <c r="F133" s="180"/>
      <c r="G133" s="180"/>
      <c r="H133" s="180"/>
      <c r="I133" s="180"/>
      <c r="J133" s="208"/>
    </row>
    <row r="134" spans="1:10" ht="23.4" x14ac:dyDescent="0.6">
      <c r="A134" s="180"/>
      <c r="B134" s="180"/>
      <c r="C134" s="180"/>
      <c r="D134" s="180"/>
      <c r="E134" s="180"/>
      <c r="F134" s="180"/>
      <c r="G134" s="180"/>
      <c r="H134" s="180"/>
      <c r="I134" s="180"/>
      <c r="J134" s="208"/>
    </row>
    <row r="135" spans="1:10" ht="23.4" x14ac:dyDescent="0.6">
      <c r="A135" s="180"/>
      <c r="B135" s="180"/>
      <c r="C135" s="180"/>
      <c r="D135" s="180"/>
      <c r="E135" s="180"/>
      <c r="F135" s="180"/>
      <c r="G135" s="180"/>
      <c r="H135" s="180"/>
      <c r="I135" s="180"/>
      <c r="J135" s="208"/>
    </row>
    <row r="136" spans="1:10" ht="23.4" x14ac:dyDescent="0.6">
      <c r="A136" s="180"/>
      <c r="B136" s="180"/>
      <c r="C136" s="180"/>
      <c r="D136" s="180"/>
      <c r="E136" s="180"/>
      <c r="F136" s="180"/>
      <c r="G136" s="180"/>
      <c r="H136" s="180"/>
      <c r="I136" s="180"/>
      <c r="J136" s="208"/>
    </row>
    <row r="137" spans="1:10" ht="23.4" x14ac:dyDescent="0.6">
      <c r="A137" s="180"/>
      <c r="B137" s="180"/>
      <c r="C137" s="180"/>
      <c r="D137" s="180"/>
      <c r="E137" s="180"/>
      <c r="F137" s="180"/>
      <c r="G137" s="180"/>
      <c r="H137" s="180"/>
      <c r="I137" s="180"/>
      <c r="J137" s="208"/>
    </row>
    <row r="138" spans="1:10" ht="23.4" x14ac:dyDescent="0.6">
      <c r="A138" s="180"/>
      <c r="B138" s="180"/>
      <c r="C138" s="180"/>
      <c r="D138" s="180"/>
      <c r="E138" s="180"/>
      <c r="F138" s="180"/>
      <c r="G138" s="180"/>
      <c r="H138" s="180"/>
      <c r="I138" s="180"/>
      <c r="J138" s="208"/>
    </row>
    <row r="139" spans="1:10" ht="23.4" x14ac:dyDescent="0.6">
      <c r="A139" s="180"/>
      <c r="B139" s="180"/>
      <c r="C139" s="180"/>
      <c r="D139" s="180"/>
      <c r="E139" s="180"/>
      <c r="F139" s="180"/>
      <c r="G139" s="180"/>
      <c r="H139" s="180"/>
      <c r="I139" s="180"/>
      <c r="J139" s="208"/>
    </row>
    <row r="140" spans="1:10" ht="23.4" x14ac:dyDescent="0.6">
      <c r="A140" s="180"/>
      <c r="B140" s="180"/>
      <c r="C140" s="180"/>
      <c r="D140" s="180"/>
      <c r="E140" s="180"/>
      <c r="F140" s="180"/>
      <c r="G140" s="180"/>
      <c r="H140" s="180"/>
      <c r="I140" s="180"/>
      <c r="J140" s="208"/>
    </row>
    <row r="141" spans="1:10" ht="23.4" x14ac:dyDescent="0.6">
      <c r="A141" s="180"/>
      <c r="B141" s="180"/>
      <c r="C141" s="180"/>
      <c r="D141" s="180"/>
      <c r="E141" s="180"/>
      <c r="F141" s="180"/>
      <c r="G141" s="180"/>
      <c r="H141" s="180"/>
      <c r="I141" s="180"/>
      <c r="J141" s="208"/>
    </row>
    <row r="142" spans="1:10" ht="23.4" x14ac:dyDescent="0.6">
      <c r="A142" s="180"/>
      <c r="B142" s="180"/>
      <c r="C142" s="180"/>
      <c r="D142" s="180"/>
      <c r="E142" s="180"/>
      <c r="F142" s="180"/>
      <c r="G142" s="180"/>
      <c r="H142" s="180"/>
      <c r="I142" s="180"/>
      <c r="J142" s="208"/>
    </row>
    <row r="143" spans="1:10" ht="23.4" x14ac:dyDescent="0.6">
      <c r="A143" s="180"/>
      <c r="B143" s="180"/>
      <c r="C143" s="180"/>
      <c r="D143" s="180"/>
      <c r="E143" s="180"/>
      <c r="F143" s="180"/>
      <c r="G143" s="180"/>
      <c r="H143" s="180"/>
      <c r="I143" s="180"/>
      <c r="J143" s="208"/>
    </row>
    <row r="144" spans="1:10" ht="23.4" x14ac:dyDescent="0.6">
      <c r="A144" s="180"/>
      <c r="B144" s="180"/>
      <c r="C144" s="180"/>
      <c r="D144" s="180"/>
      <c r="E144" s="180"/>
      <c r="F144" s="180"/>
      <c r="G144" s="180"/>
      <c r="H144" s="180"/>
      <c r="I144" s="180"/>
      <c r="J144" s="208"/>
    </row>
    <row r="145" spans="1:10" ht="23.4" x14ac:dyDescent="0.6">
      <c r="A145" s="180"/>
      <c r="B145" s="180"/>
      <c r="C145" s="180"/>
      <c r="D145" s="180"/>
      <c r="E145" s="180"/>
      <c r="F145" s="180"/>
      <c r="G145" s="180"/>
      <c r="H145" s="180"/>
      <c r="I145" s="180"/>
      <c r="J145" s="208"/>
    </row>
    <row r="146" spans="1:10" ht="23.4" x14ac:dyDescent="0.6">
      <c r="A146" s="180"/>
      <c r="B146" s="180"/>
      <c r="C146" s="180"/>
      <c r="D146" s="180"/>
      <c r="E146" s="180"/>
      <c r="F146" s="180"/>
      <c r="G146" s="180"/>
      <c r="H146" s="180"/>
      <c r="I146" s="180"/>
      <c r="J146" s="208"/>
    </row>
    <row r="147" spans="1:10" ht="23.4" x14ac:dyDescent="0.6">
      <c r="A147" s="180"/>
      <c r="B147" s="180"/>
      <c r="C147" s="180"/>
      <c r="D147" s="180"/>
      <c r="E147" s="180"/>
      <c r="F147" s="180"/>
      <c r="G147" s="180"/>
      <c r="H147" s="180"/>
      <c r="I147" s="180"/>
      <c r="J147" s="208"/>
    </row>
    <row r="148" spans="1:10" ht="23.4" x14ac:dyDescent="0.6">
      <c r="A148" s="180"/>
      <c r="B148" s="180"/>
      <c r="C148" s="180"/>
      <c r="D148" s="180"/>
      <c r="E148" s="180"/>
      <c r="F148" s="180"/>
      <c r="G148" s="180"/>
      <c r="H148" s="180"/>
      <c r="I148" s="180"/>
      <c r="J148" s="208"/>
    </row>
    <row r="149" spans="1:10" ht="23.4" x14ac:dyDescent="0.6">
      <c r="A149" s="180"/>
      <c r="B149" s="180"/>
      <c r="C149" s="180"/>
      <c r="D149" s="180"/>
      <c r="E149" s="180"/>
      <c r="F149" s="180"/>
      <c r="G149" s="180"/>
      <c r="H149" s="180"/>
      <c r="I149" s="180"/>
      <c r="J149" s="208"/>
    </row>
    <row r="150" spans="1:10" ht="23.4" x14ac:dyDescent="0.6">
      <c r="A150" s="180"/>
      <c r="B150" s="180"/>
      <c r="C150" s="180"/>
      <c r="D150" s="180"/>
      <c r="E150" s="180"/>
      <c r="F150" s="180"/>
      <c r="G150" s="180"/>
      <c r="H150" s="180"/>
      <c r="I150" s="180"/>
      <c r="J150" s="208"/>
    </row>
    <row r="151" spans="1:10" ht="23.4" x14ac:dyDescent="0.6">
      <c r="A151" s="180"/>
      <c r="B151" s="180"/>
      <c r="C151" s="180"/>
      <c r="D151" s="180"/>
      <c r="E151" s="180"/>
      <c r="F151" s="180"/>
      <c r="G151" s="180"/>
      <c r="H151" s="180"/>
      <c r="I151" s="180"/>
      <c r="J151" s="208"/>
    </row>
    <row r="152" spans="1:10" ht="23.4" x14ac:dyDescent="0.6">
      <c r="A152" s="180"/>
      <c r="B152" s="180"/>
      <c r="C152" s="180"/>
      <c r="D152" s="180"/>
      <c r="E152" s="180"/>
      <c r="F152" s="180"/>
      <c r="G152" s="180"/>
      <c r="H152" s="180"/>
      <c r="I152" s="180"/>
      <c r="J152" s="208"/>
    </row>
    <row r="153" spans="1:10" ht="23.4" x14ac:dyDescent="0.6">
      <c r="A153" s="180"/>
      <c r="B153" s="180"/>
      <c r="C153" s="180"/>
      <c r="D153" s="180"/>
      <c r="E153" s="180"/>
      <c r="F153" s="180"/>
      <c r="G153" s="180"/>
      <c r="H153" s="180"/>
      <c r="I153" s="180"/>
      <c r="J153" s="208"/>
    </row>
    <row r="154" spans="1:10" ht="23.4" x14ac:dyDescent="0.6">
      <c r="A154" s="180"/>
      <c r="B154" s="180"/>
      <c r="C154" s="180"/>
      <c r="D154" s="180"/>
      <c r="E154" s="180"/>
      <c r="F154" s="180"/>
      <c r="G154" s="180"/>
      <c r="H154" s="180"/>
      <c r="I154" s="180"/>
      <c r="J154" s="208"/>
    </row>
    <row r="155" spans="1:10" ht="23.4" x14ac:dyDescent="0.6">
      <c r="A155" s="180"/>
      <c r="B155" s="180"/>
      <c r="C155" s="180"/>
      <c r="D155" s="180"/>
      <c r="E155" s="180"/>
      <c r="F155" s="180"/>
      <c r="G155" s="180"/>
      <c r="H155" s="180"/>
      <c r="I155" s="180"/>
      <c r="J155" s="208"/>
    </row>
    <row r="156" spans="1:10" ht="23.4" x14ac:dyDescent="0.6">
      <c r="A156" s="180"/>
      <c r="B156" s="180"/>
      <c r="C156" s="180"/>
      <c r="D156" s="180"/>
      <c r="E156" s="180"/>
      <c r="F156" s="180"/>
      <c r="G156" s="180"/>
      <c r="H156" s="180"/>
      <c r="I156" s="180"/>
      <c r="J156" s="208"/>
    </row>
    <row r="157" spans="1:10" ht="23.4" x14ac:dyDescent="0.6">
      <c r="A157" s="180"/>
      <c r="B157" s="180"/>
      <c r="C157" s="180"/>
      <c r="D157" s="180"/>
      <c r="E157" s="180"/>
      <c r="F157" s="180"/>
      <c r="G157" s="180"/>
      <c r="H157" s="180"/>
      <c r="I157" s="180"/>
      <c r="J157" s="208"/>
    </row>
    <row r="158" spans="1:10" ht="23.4" x14ac:dyDescent="0.6">
      <c r="A158" s="180"/>
      <c r="B158" s="180"/>
      <c r="C158" s="180"/>
      <c r="D158" s="180"/>
      <c r="E158" s="180"/>
      <c r="F158" s="180"/>
      <c r="G158" s="180"/>
      <c r="H158" s="180"/>
      <c r="I158" s="180"/>
      <c r="J158" s="208"/>
    </row>
    <row r="159" spans="1:10" ht="23.4" x14ac:dyDescent="0.6">
      <c r="A159" s="180"/>
      <c r="B159" s="180"/>
      <c r="C159" s="180"/>
      <c r="D159" s="180"/>
      <c r="E159" s="180"/>
      <c r="F159" s="180"/>
      <c r="G159" s="180"/>
      <c r="H159" s="180"/>
      <c r="I159" s="180"/>
      <c r="J159" s="208"/>
    </row>
    <row r="160" spans="1:10" ht="23.4" x14ac:dyDescent="0.6">
      <c r="A160" s="180"/>
      <c r="B160" s="180"/>
      <c r="C160" s="180"/>
      <c r="D160" s="180"/>
      <c r="E160" s="180"/>
      <c r="F160" s="180"/>
      <c r="G160" s="180"/>
      <c r="H160" s="180"/>
      <c r="I160" s="180"/>
      <c r="J160" s="208"/>
    </row>
    <row r="161" spans="1:10" ht="23.4" x14ac:dyDescent="0.6">
      <c r="A161" s="180"/>
      <c r="B161" s="180"/>
      <c r="C161" s="180"/>
      <c r="D161" s="180"/>
      <c r="E161" s="180"/>
      <c r="F161" s="180"/>
      <c r="G161" s="180"/>
      <c r="H161" s="180"/>
      <c r="I161" s="180"/>
      <c r="J161" s="208"/>
    </row>
    <row r="162" spans="1:10" ht="23.4" x14ac:dyDescent="0.6">
      <c r="A162" s="180"/>
      <c r="B162" s="180"/>
      <c r="C162" s="180"/>
      <c r="D162" s="180"/>
      <c r="E162" s="180"/>
      <c r="F162" s="180"/>
      <c r="G162" s="180"/>
      <c r="H162" s="180"/>
      <c r="I162" s="180"/>
      <c r="J162" s="208"/>
    </row>
    <row r="163" spans="1:10" ht="23.4" x14ac:dyDescent="0.6">
      <c r="A163" s="180"/>
      <c r="B163" s="180"/>
      <c r="C163" s="180"/>
      <c r="D163" s="180"/>
      <c r="E163" s="180"/>
      <c r="F163" s="180"/>
      <c r="G163" s="180"/>
      <c r="H163" s="180"/>
      <c r="I163" s="180"/>
      <c r="J163" s="208"/>
    </row>
    <row r="164" spans="1:10" ht="23.4" x14ac:dyDescent="0.6">
      <c r="A164" s="180"/>
      <c r="B164" s="180"/>
      <c r="C164" s="180"/>
      <c r="D164" s="180"/>
      <c r="E164" s="180"/>
      <c r="F164" s="180"/>
      <c r="G164" s="180"/>
      <c r="H164" s="180"/>
      <c r="I164" s="180"/>
      <c r="J164" s="208"/>
    </row>
    <row r="165" spans="1:10" ht="23.4" x14ac:dyDescent="0.6">
      <c r="A165" s="180"/>
      <c r="B165" s="180"/>
      <c r="C165" s="180"/>
      <c r="D165" s="180"/>
      <c r="E165" s="180"/>
      <c r="F165" s="180"/>
      <c r="G165" s="180"/>
      <c r="H165" s="180"/>
      <c r="I165" s="180"/>
      <c r="J165" s="208"/>
    </row>
    <row r="166" spans="1:10" ht="23.4" x14ac:dyDescent="0.6">
      <c r="A166" s="180"/>
      <c r="B166" s="180"/>
      <c r="C166" s="180"/>
      <c r="D166" s="180"/>
      <c r="E166" s="180"/>
      <c r="F166" s="180"/>
      <c r="G166" s="180"/>
      <c r="H166" s="180"/>
      <c r="I166" s="180"/>
      <c r="J166" s="208"/>
    </row>
    <row r="167" spans="1:10" ht="23.4" x14ac:dyDescent="0.6">
      <c r="A167" s="180"/>
      <c r="B167" s="180"/>
      <c r="C167" s="180"/>
      <c r="D167" s="180"/>
      <c r="E167" s="180"/>
      <c r="F167" s="180"/>
      <c r="G167" s="180"/>
      <c r="H167" s="180"/>
      <c r="I167" s="180"/>
      <c r="J167" s="208"/>
    </row>
    <row r="168" spans="1:10" ht="23.4" x14ac:dyDescent="0.6">
      <c r="A168" s="180"/>
      <c r="B168" s="180"/>
      <c r="C168" s="180"/>
      <c r="D168" s="180"/>
      <c r="E168" s="180"/>
      <c r="F168" s="180"/>
      <c r="G168" s="180"/>
      <c r="H168" s="180"/>
      <c r="I168" s="180"/>
      <c r="J168" s="208"/>
    </row>
    <row r="169" spans="1:10" ht="23.4" x14ac:dyDescent="0.6">
      <c r="A169" s="180"/>
      <c r="B169" s="180"/>
      <c r="C169" s="180"/>
      <c r="D169" s="180"/>
      <c r="E169" s="180"/>
      <c r="F169" s="180"/>
      <c r="G169" s="180"/>
      <c r="H169" s="180"/>
      <c r="I169" s="180"/>
      <c r="J169" s="208"/>
    </row>
    <row r="170" spans="1:10" ht="23.4" x14ac:dyDescent="0.6">
      <c r="A170" s="180"/>
      <c r="B170" s="180"/>
      <c r="C170" s="180"/>
      <c r="D170" s="180"/>
      <c r="E170" s="180"/>
      <c r="F170" s="180"/>
      <c r="G170" s="180"/>
      <c r="H170" s="180"/>
      <c r="I170" s="180"/>
      <c r="J170" s="208"/>
    </row>
    <row r="171" spans="1:10" ht="23.4" x14ac:dyDescent="0.6">
      <c r="A171" s="180"/>
      <c r="B171" s="180"/>
      <c r="C171" s="180"/>
      <c r="D171" s="180"/>
      <c r="E171" s="180"/>
      <c r="F171" s="180"/>
      <c r="G171" s="180"/>
      <c r="H171" s="180"/>
      <c r="I171" s="180"/>
      <c r="J171" s="208"/>
    </row>
    <row r="172" spans="1:10" ht="23.4" x14ac:dyDescent="0.6">
      <c r="A172" s="180"/>
      <c r="B172" s="180"/>
      <c r="C172" s="180"/>
      <c r="D172" s="180"/>
      <c r="E172" s="180"/>
      <c r="F172" s="180"/>
      <c r="G172" s="180"/>
      <c r="H172" s="180"/>
      <c r="I172" s="180"/>
      <c r="J172" s="208"/>
    </row>
    <row r="173" spans="1:10" ht="23.4" x14ac:dyDescent="0.6">
      <c r="A173" s="180"/>
      <c r="B173" s="180"/>
      <c r="C173" s="180"/>
      <c r="D173" s="180"/>
      <c r="E173" s="180"/>
      <c r="F173" s="180"/>
      <c r="G173" s="180"/>
      <c r="H173" s="180"/>
      <c r="I173" s="180"/>
      <c r="J173" s="208"/>
    </row>
    <row r="174" spans="1:10" ht="23.4" x14ac:dyDescent="0.6">
      <c r="A174" s="180"/>
      <c r="B174" s="180"/>
      <c r="C174" s="180"/>
      <c r="D174" s="180"/>
      <c r="E174" s="180"/>
      <c r="F174" s="180"/>
      <c r="G174" s="180"/>
      <c r="H174" s="180"/>
      <c r="I174" s="180"/>
      <c r="J174" s="208"/>
    </row>
    <row r="175" spans="1:10" ht="23.4" x14ac:dyDescent="0.6">
      <c r="A175" s="180"/>
      <c r="B175" s="180"/>
      <c r="C175" s="180"/>
      <c r="D175" s="180"/>
      <c r="E175" s="180"/>
      <c r="F175" s="180"/>
      <c r="G175" s="180"/>
      <c r="H175" s="180"/>
      <c r="I175" s="180"/>
      <c r="J175" s="208"/>
    </row>
    <row r="176" spans="1:10" ht="23.4" x14ac:dyDescent="0.6">
      <c r="A176" s="180"/>
      <c r="B176" s="180"/>
      <c r="C176" s="180"/>
      <c r="D176" s="180"/>
      <c r="E176" s="180"/>
      <c r="F176" s="180"/>
      <c r="G176" s="180"/>
      <c r="H176" s="180"/>
      <c r="I176" s="180"/>
      <c r="J176" s="208"/>
    </row>
    <row r="177" spans="1:10" ht="23.4" x14ac:dyDescent="0.6">
      <c r="A177" s="180"/>
      <c r="B177" s="180"/>
      <c r="C177" s="180"/>
      <c r="D177" s="180"/>
      <c r="E177" s="180"/>
      <c r="F177" s="180"/>
      <c r="G177" s="180"/>
      <c r="H177" s="180"/>
      <c r="I177" s="180"/>
      <c r="J177" s="208"/>
    </row>
    <row r="178" spans="1:10" ht="23.4" x14ac:dyDescent="0.6">
      <c r="A178" s="180"/>
      <c r="B178" s="180"/>
      <c r="C178" s="180"/>
      <c r="D178" s="180"/>
      <c r="E178" s="180"/>
      <c r="F178" s="180"/>
      <c r="G178" s="180"/>
      <c r="H178" s="180"/>
      <c r="I178" s="180"/>
      <c r="J178" s="208"/>
    </row>
    <row r="179" spans="1:10" ht="23.4" x14ac:dyDescent="0.6">
      <c r="A179" s="180"/>
      <c r="B179" s="180"/>
      <c r="C179" s="180"/>
      <c r="D179" s="180"/>
      <c r="E179" s="180"/>
      <c r="F179" s="180"/>
      <c r="G179" s="180"/>
      <c r="H179" s="180"/>
      <c r="I179" s="180"/>
      <c r="J179" s="208"/>
    </row>
    <row r="180" spans="1:10" ht="23.4" x14ac:dyDescent="0.6">
      <c r="A180" s="180"/>
      <c r="B180" s="180"/>
      <c r="C180" s="180"/>
      <c r="D180" s="180"/>
      <c r="E180" s="180"/>
      <c r="F180" s="180"/>
      <c r="G180" s="180"/>
      <c r="H180" s="180"/>
      <c r="I180" s="180"/>
      <c r="J180" s="208"/>
    </row>
    <row r="181" spans="1:10" ht="23.4" x14ac:dyDescent="0.6">
      <c r="A181" s="180"/>
      <c r="B181" s="180"/>
      <c r="C181" s="180"/>
      <c r="D181" s="180"/>
      <c r="E181" s="180"/>
      <c r="F181" s="180"/>
      <c r="G181" s="180"/>
      <c r="H181" s="180"/>
      <c r="I181" s="180"/>
      <c r="J181" s="208"/>
    </row>
    <row r="182" spans="1:10" ht="23.4" x14ac:dyDescent="0.6">
      <c r="A182" s="180"/>
      <c r="B182" s="180"/>
      <c r="C182" s="180"/>
      <c r="D182" s="180"/>
      <c r="E182" s="180"/>
      <c r="F182" s="180"/>
      <c r="G182" s="180"/>
      <c r="H182" s="180"/>
      <c r="I182" s="180"/>
      <c r="J182" s="208"/>
    </row>
    <row r="183" spans="1:10" ht="23.4" x14ac:dyDescent="0.6">
      <c r="A183" s="180"/>
      <c r="B183" s="180"/>
      <c r="C183" s="180"/>
      <c r="D183" s="180"/>
      <c r="E183" s="180"/>
      <c r="F183" s="180"/>
      <c r="G183" s="180"/>
      <c r="H183" s="180"/>
      <c r="I183" s="180"/>
      <c r="J183" s="208"/>
    </row>
    <row r="184" spans="1:10" ht="23.4" x14ac:dyDescent="0.6">
      <c r="A184" s="180"/>
      <c r="B184" s="180"/>
      <c r="C184" s="180"/>
      <c r="D184" s="180"/>
      <c r="E184" s="180"/>
      <c r="F184" s="180"/>
      <c r="G184" s="180"/>
      <c r="H184" s="180"/>
      <c r="I184" s="180"/>
      <c r="J184" s="208"/>
    </row>
    <row r="185" spans="1:10" ht="23.4" x14ac:dyDescent="0.6">
      <c r="A185" s="180"/>
      <c r="B185" s="180"/>
      <c r="C185" s="180"/>
      <c r="D185" s="180"/>
      <c r="E185" s="180"/>
      <c r="F185" s="180"/>
      <c r="G185" s="180"/>
      <c r="H185" s="180"/>
      <c r="I185" s="180"/>
      <c r="J185" s="208"/>
    </row>
    <row r="186" spans="1:10" ht="23.4" x14ac:dyDescent="0.6">
      <c r="A186" s="180"/>
      <c r="B186" s="180"/>
      <c r="C186" s="180"/>
      <c r="D186" s="180"/>
      <c r="E186" s="180"/>
      <c r="F186" s="180"/>
      <c r="G186" s="180"/>
      <c r="H186" s="180"/>
      <c r="I186" s="180"/>
      <c r="J186" s="208"/>
    </row>
    <row r="187" spans="1:10" ht="23.4" x14ac:dyDescent="0.6">
      <c r="A187" s="180"/>
      <c r="B187" s="180"/>
      <c r="C187" s="180"/>
      <c r="D187" s="180"/>
      <c r="E187" s="180"/>
      <c r="F187" s="180"/>
      <c r="G187" s="180"/>
      <c r="H187" s="180"/>
      <c r="I187" s="180"/>
      <c r="J187" s="208"/>
    </row>
    <row r="188" spans="1:10" ht="23.4" x14ac:dyDescent="0.6">
      <c r="A188" s="180"/>
      <c r="B188" s="180"/>
      <c r="C188" s="180"/>
      <c r="D188" s="180"/>
      <c r="E188" s="180"/>
      <c r="F188" s="180"/>
      <c r="G188" s="180"/>
      <c r="H188" s="180"/>
      <c r="I188" s="180"/>
      <c r="J188" s="208"/>
    </row>
    <row r="189" spans="1:10" ht="23.4" x14ac:dyDescent="0.6">
      <c r="A189" s="180"/>
      <c r="B189" s="180"/>
      <c r="C189" s="180"/>
      <c r="D189" s="180"/>
      <c r="E189" s="180"/>
      <c r="F189" s="180"/>
      <c r="G189" s="180"/>
      <c r="H189" s="180"/>
      <c r="I189" s="180"/>
      <c r="J189" s="208"/>
    </row>
    <row r="190" spans="1:10" ht="23.4" x14ac:dyDescent="0.6">
      <c r="A190" s="180"/>
      <c r="B190" s="180"/>
      <c r="C190" s="180"/>
      <c r="D190" s="180"/>
      <c r="E190" s="180"/>
      <c r="F190" s="180"/>
      <c r="G190" s="180"/>
      <c r="H190" s="180"/>
      <c r="I190" s="180"/>
      <c r="J190" s="208"/>
    </row>
    <row r="191" spans="1:10" ht="23.4" x14ac:dyDescent="0.6">
      <c r="A191" s="180"/>
      <c r="B191" s="180"/>
      <c r="C191" s="180"/>
      <c r="D191" s="180"/>
      <c r="E191" s="180"/>
      <c r="F191" s="180"/>
      <c r="G191" s="180"/>
      <c r="H191" s="180"/>
      <c r="I191" s="180"/>
      <c r="J191" s="208"/>
    </row>
    <row r="192" spans="1:10" ht="23.4" x14ac:dyDescent="0.6">
      <c r="A192" s="180"/>
      <c r="B192" s="180"/>
      <c r="C192" s="180"/>
      <c r="D192" s="180"/>
      <c r="E192" s="180"/>
      <c r="F192" s="180"/>
      <c r="G192" s="180"/>
      <c r="H192" s="180"/>
      <c r="I192" s="180"/>
      <c r="J192" s="208"/>
    </row>
    <row r="193" spans="1:10" ht="23.4" x14ac:dyDescent="0.6">
      <c r="A193" s="180"/>
      <c r="B193" s="180"/>
      <c r="C193" s="180"/>
      <c r="D193" s="180"/>
      <c r="E193" s="180"/>
      <c r="F193" s="180"/>
      <c r="G193" s="180"/>
      <c r="H193" s="180"/>
      <c r="I193" s="180"/>
      <c r="J193" s="208"/>
    </row>
    <row r="194" spans="1:10" ht="23.4" x14ac:dyDescent="0.6">
      <c r="A194" s="180"/>
      <c r="B194" s="180"/>
      <c r="C194" s="180"/>
      <c r="D194" s="180"/>
      <c r="E194" s="180"/>
      <c r="F194" s="180"/>
      <c r="G194" s="180"/>
      <c r="H194" s="180"/>
      <c r="I194" s="180"/>
      <c r="J194" s="208"/>
    </row>
    <row r="195" spans="1:10" ht="23.4" x14ac:dyDescent="0.6">
      <c r="A195" s="180"/>
      <c r="B195" s="180"/>
      <c r="C195" s="180"/>
      <c r="D195" s="180"/>
      <c r="E195" s="180"/>
      <c r="F195" s="180"/>
      <c r="G195" s="180"/>
      <c r="H195" s="180"/>
      <c r="I195" s="180"/>
      <c r="J195" s="208"/>
    </row>
    <row r="196" spans="1:10" ht="23.4" x14ac:dyDescent="0.6">
      <c r="A196" s="180"/>
      <c r="B196" s="180"/>
      <c r="C196" s="180"/>
      <c r="D196" s="180"/>
      <c r="E196" s="180"/>
      <c r="F196" s="180"/>
      <c r="G196" s="180"/>
      <c r="H196" s="180"/>
      <c r="I196" s="180"/>
      <c r="J196" s="208"/>
    </row>
    <row r="197" spans="1:10" ht="23.4" x14ac:dyDescent="0.6">
      <c r="A197" s="180"/>
      <c r="B197" s="180"/>
      <c r="C197" s="180"/>
      <c r="D197" s="180"/>
      <c r="E197" s="180"/>
      <c r="F197" s="180"/>
      <c r="G197" s="180"/>
      <c r="H197" s="180"/>
      <c r="I197" s="180"/>
      <c r="J197" s="208"/>
    </row>
    <row r="198" spans="1:10" ht="23.4" x14ac:dyDescent="0.6">
      <c r="A198" s="180"/>
      <c r="B198" s="180"/>
      <c r="C198" s="180"/>
      <c r="D198" s="180"/>
      <c r="E198" s="180"/>
      <c r="F198" s="180"/>
      <c r="G198" s="180"/>
      <c r="H198" s="180"/>
      <c r="I198" s="180"/>
      <c r="J198" s="208"/>
    </row>
    <row r="199" spans="1:10" ht="23.4" x14ac:dyDescent="0.6">
      <c r="A199" s="180"/>
      <c r="B199" s="180"/>
      <c r="C199" s="180"/>
      <c r="D199" s="180"/>
      <c r="E199" s="180"/>
      <c r="F199" s="180"/>
      <c r="G199" s="180"/>
      <c r="H199" s="180"/>
      <c r="I199" s="180"/>
      <c r="J199" s="208"/>
    </row>
    <row r="200" spans="1:10" ht="23.4" x14ac:dyDescent="0.6">
      <c r="A200" s="180"/>
      <c r="B200" s="180"/>
      <c r="C200" s="180"/>
      <c r="D200" s="180"/>
      <c r="E200" s="180"/>
      <c r="F200" s="180"/>
      <c r="G200" s="180"/>
      <c r="H200" s="180"/>
      <c r="I200" s="180"/>
      <c r="J200" s="208"/>
    </row>
    <row r="201" spans="1:10" ht="23.4" x14ac:dyDescent="0.6">
      <c r="A201" s="180"/>
      <c r="B201" s="180"/>
      <c r="C201" s="180"/>
      <c r="D201" s="180"/>
      <c r="E201" s="180"/>
      <c r="F201" s="180"/>
      <c r="G201" s="180"/>
      <c r="H201" s="180"/>
      <c r="I201" s="180"/>
      <c r="J201" s="208"/>
    </row>
    <row r="202" spans="1:10" ht="23.4" x14ac:dyDescent="0.6">
      <c r="A202" s="180"/>
      <c r="B202" s="180"/>
      <c r="C202" s="180"/>
      <c r="D202" s="180"/>
      <c r="E202" s="180"/>
      <c r="F202" s="180"/>
      <c r="G202" s="180"/>
      <c r="H202" s="180"/>
      <c r="I202" s="180"/>
      <c r="J202" s="208"/>
    </row>
    <row r="203" spans="1:10" ht="23.4" x14ac:dyDescent="0.6">
      <c r="A203" s="180"/>
      <c r="B203" s="180"/>
      <c r="C203" s="180"/>
      <c r="D203" s="180"/>
      <c r="E203" s="180"/>
      <c r="F203" s="180"/>
      <c r="G203" s="180"/>
      <c r="H203" s="180"/>
      <c r="I203" s="180"/>
      <c r="J203" s="208"/>
    </row>
    <row r="204" spans="1:10" ht="23.4" x14ac:dyDescent="0.6">
      <c r="A204" s="180"/>
      <c r="B204" s="180"/>
      <c r="C204" s="180"/>
      <c r="D204" s="180"/>
      <c r="E204" s="180"/>
      <c r="F204" s="180"/>
      <c r="G204" s="180"/>
      <c r="H204" s="180"/>
      <c r="I204" s="180"/>
      <c r="J204" s="208"/>
    </row>
    <row r="205" spans="1:10" ht="23.4" x14ac:dyDescent="0.6">
      <c r="A205" s="180"/>
      <c r="B205" s="180"/>
      <c r="C205" s="180"/>
      <c r="D205" s="180"/>
      <c r="E205" s="180"/>
      <c r="F205" s="180"/>
      <c r="G205" s="180"/>
      <c r="H205" s="180"/>
      <c r="I205" s="180"/>
      <c r="J205" s="208"/>
    </row>
    <row r="206" spans="1:10" ht="23.4" x14ac:dyDescent="0.6">
      <c r="A206" s="180"/>
      <c r="B206" s="180"/>
      <c r="C206" s="180"/>
      <c r="D206" s="180"/>
      <c r="E206" s="180"/>
      <c r="F206" s="180"/>
      <c r="G206" s="180"/>
      <c r="H206" s="180"/>
      <c r="I206" s="180"/>
      <c r="J206" s="208"/>
    </row>
    <row r="207" spans="1:10" ht="23.4" x14ac:dyDescent="0.6">
      <c r="A207" s="180"/>
      <c r="B207" s="180"/>
      <c r="C207" s="180"/>
      <c r="D207" s="180"/>
      <c r="E207" s="180"/>
      <c r="F207" s="180"/>
      <c r="G207" s="180"/>
      <c r="H207" s="180"/>
      <c r="I207" s="180"/>
      <c r="J207" s="208"/>
    </row>
    <row r="208" spans="1:10" ht="23.4" x14ac:dyDescent="0.6">
      <c r="A208" s="180"/>
      <c r="B208" s="180"/>
      <c r="C208" s="180"/>
      <c r="D208" s="180"/>
      <c r="E208" s="180"/>
      <c r="F208" s="180"/>
      <c r="G208" s="180"/>
      <c r="H208" s="180"/>
      <c r="I208" s="180"/>
      <c r="J208" s="208"/>
    </row>
    <row r="209" spans="1:10" ht="23.4" x14ac:dyDescent="0.6">
      <c r="A209" s="180"/>
      <c r="B209" s="180"/>
      <c r="C209" s="180"/>
      <c r="D209" s="180"/>
      <c r="E209" s="180"/>
      <c r="F209" s="180"/>
      <c r="G209" s="180"/>
      <c r="H209" s="180"/>
      <c r="I209" s="180"/>
      <c r="J209" s="208"/>
    </row>
    <row r="210" spans="1:10" ht="23.4" x14ac:dyDescent="0.6">
      <c r="A210" s="180"/>
      <c r="B210" s="180"/>
      <c r="C210" s="180"/>
      <c r="D210" s="180"/>
      <c r="E210" s="180"/>
      <c r="F210" s="180"/>
      <c r="G210" s="180"/>
      <c r="H210" s="180"/>
      <c r="I210" s="180"/>
      <c r="J210" s="208"/>
    </row>
    <row r="211" spans="1:10" ht="23.4" x14ac:dyDescent="0.6">
      <c r="A211" s="180"/>
      <c r="B211" s="180"/>
      <c r="C211" s="180"/>
      <c r="D211" s="180"/>
      <c r="E211" s="180"/>
      <c r="F211" s="180"/>
      <c r="G211" s="180"/>
      <c r="H211" s="180"/>
      <c r="I211" s="180"/>
      <c r="J211" s="208"/>
    </row>
    <row r="212" spans="1:10" ht="23.4" x14ac:dyDescent="0.6">
      <c r="A212" s="180"/>
      <c r="B212" s="180"/>
      <c r="C212" s="180"/>
      <c r="D212" s="180"/>
      <c r="E212" s="180"/>
      <c r="F212" s="180"/>
      <c r="G212" s="180"/>
      <c r="H212" s="180"/>
      <c r="I212" s="180"/>
      <c r="J212" s="208"/>
    </row>
    <row r="213" spans="1:10" ht="23.4" x14ac:dyDescent="0.6">
      <c r="A213" s="180"/>
      <c r="B213" s="180"/>
      <c r="C213" s="180"/>
      <c r="D213" s="180"/>
      <c r="E213" s="180"/>
      <c r="F213" s="180"/>
      <c r="G213" s="180"/>
      <c r="H213" s="180"/>
      <c r="I213" s="180"/>
      <c r="J213" s="208"/>
    </row>
    <row r="214" spans="1:10" ht="23.4" x14ac:dyDescent="0.6">
      <c r="A214" s="180"/>
      <c r="B214" s="180"/>
      <c r="C214" s="180"/>
      <c r="D214" s="180"/>
      <c r="E214" s="180"/>
      <c r="F214" s="180"/>
      <c r="G214" s="180"/>
      <c r="H214" s="180"/>
      <c r="I214" s="180"/>
      <c r="J214" s="208"/>
    </row>
    <row r="215" spans="1:10" ht="23.4" x14ac:dyDescent="0.6">
      <c r="A215" s="180"/>
      <c r="B215" s="180"/>
      <c r="C215" s="180"/>
      <c r="D215" s="180"/>
      <c r="E215" s="180"/>
      <c r="F215" s="180"/>
      <c r="G215" s="180"/>
      <c r="H215" s="180"/>
      <c r="I215" s="180"/>
      <c r="J215" s="208"/>
    </row>
    <row r="216" spans="1:10" ht="23.4" x14ac:dyDescent="0.6">
      <c r="A216" s="180"/>
      <c r="B216" s="180"/>
      <c r="C216" s="180"/>
      <c r="D216" s="180"/>
      <c r="E216" s="180"/>
      <c r="F216" s="180"/>
      <c r="G216" s="180"/>
      <c r="H216" s="180"/>
      <c r="I216" s="180"/>
      <c r="J216" s="208"/>
    </row>
    <row r="217" spans="1:10" ht="23.4" x14ac:dyDescent="0.6">
      <c r="A217" s="180"/>
      <c r="B217" s="180"/>
      <c r="C217" s="180"/>
      <c r="D217" s="180"/>
      <c r="E217" s="180"/>
      <c r="F217" s="180"/>
      <c r="G217" s="180"/>
      <c r="H217" s="180"/>
      <c r="I217" s="180"/>
      <c r="J217" s="208"/>
    </row>
    <row r="218" spans="1:10" ht="23.4" x14ac:dyDescent="0.6">
      <c r="A218" s="180"/>
      <c r="B218" s="180"/>
      <c r="C218" s="180"/>
      <c r="D218" s="180"/>
      <c r="E218" s="180"/>
      <c r="F218" s="180"/>
      <c r="G218" s="180"/>
      <c r="H218" s="180"/>
      <c r="I218" s="180"/>
      <c r="J218" s="208"/>
    </row>
    <row r="219" spans="1:10" ht="23.4" x14ac:dyDescent="0.6">
      <c r="A219" s="180"/>
      <c r="B219" s="180"/>
      <c r="C219" s="180"/>
      <c r="D219" s="180"/>
      <c r="E219" s="180"/>
      <c r="F219" s="180"/>
      <c r="G219" s="180"/>
      <c r="H219" s="180"/>
      <c r="I219" s="180"/>
      <c r="J219" s="208"/>
    </row>
    <row r="220" spans="1:10" ht="23.4" x14ac:dyDescent="0.6">
      <c r="A220" s="180"/>
      <c r="B220" s="180"/>
      <c r="C220" s="180"/>
      <c r="D220" s="180"/>
      <c r="E220" s="180"/>
      <c r="F220" s="180"/>
      <c r="G220" s="180"/>
      <c r="H220" s="180"/>
      <c r="I220" s="180"/>
      <c r="J220" s="208"/>
    </row>
    <row r="221" spans="1:10" ht="23.4" x14ac:dyDescent="0.6">
      <c r="A221" s="180"/>
      <c r="B221" s="180"/>
      <c r="C221" s="180"/>
      <c r="D221" s="180"/>
      <c r="E221" s="180"/>
      <c r="F221" s="180"/>
      <c r="G221" s="180"/>
      <c r="H221" s="180"/>
      <c r="I221" s="180"/>
      <c r="J221" s="208"/>
    </row>
    <row r="222" spans="1:10" ht="23.4" x14ac:dyDescent="0.6">
      <c r="A222" s="180"/>
      <c r="B222" s="180"/>
      <c r="C222" s="180"/>
      <c r="D222" s="180"/>
      <c r="E222" s="180"/>
      <c r="F222" s="180"/>
      <c r="G222" s="180"/>
      <c r="H222" s="180"/>
      <c r="I222" s="180"/>
      <c r="J222" s="208"/>
    </row>
    <row r="223" spans="1:10" ht="23.4" x14ac:dyDescent="0.6">
      <c r="A223" s="180"/>
      <c r="B223" s="180"/>
      <c r="C223" s="180"/>
      <c r="D223" s="180"/>
      <c r="E223" s="180"/>
      <c r="F223" s="180"/>
      <c r="G223" s="180"/>
      <c r="H223" s="180"/>
      <c r="I223" s="180"/>
      <c r="J223" s="208"/>
    </row>
    <row r="224" spans="1:10" ht="23.4" x14ac:dyDescent="0.6">
      <c r="A224" s="180"/>
      <c r="B224" s="180"/>
      <c r="C224" s="180"/>
      <c r="D224" s="180"/>
      <c r="E224" s="180"/>
      <c r="F224" s="180"/>
      <c r="G224" s="180"/>
      <c r="H224" s="180"/>
      <c r="I224" s="180"/>
      <c r="J224" s="208"/>
    </row>
    <row r="225" spans="1:10" ht="23.4" x14ac:dyDescent="0.6">
      <c r="A225" s="180"/>
      <c r="B225" s="180"/>
      <c r="C225" s="180"/>
      <c r="D225" s="180"/>
      <c r="E225" s="180"/>
      <c r="F225" s="180"/>
      <c r="G225" s="180"/>
      <c r="H225" s="180"/>
      <c r="I225" s="180"/>
      <c r="J225" s="208"/>
    </row>
    <row r="226" spans="1:10" ht="23.4" x14ac:dyDescent="0.6">
      <c r="A226" s="180"/>
      <c r="B226" s="180"/>
      <c r="C226" s="180"/>
      <c r="D226" s="180"/>
      <c r="E226" s="180"/>
      <c r="F226" s="180"/>
      <c r="G226" s="180"/>
      <c r="H226" s="180"/>
      <c r="I226" s="180"/>
      <c r="J226" s="208"/>
    </row>
    <row r="227" spans="1:10" ht="23.4" x14ac:dyDescent="0.6">
      <c r="A227" s="180"/>
      <c r="B227" s="180"/>
      <c r="C227" s="180"/>
      <c r="D227" s="180"/>
      <c r="E227" s="180"/>
      <c r="F227" s="180"/>
      <c r="G227" s="180"/>
      <c r="H227" s="180"/>
      <c r="I227" s="180"/>
      <c r="J227" s="208"/>
    </row>
    <row r="228" spans="1:10" ht="23.4" x14ac:dyDescent="0.6">
      <c r="A228" s="180"/>
      <c r="B228" s="180"/>
      <c r="C228" s="180"/>
      <c r="D228" s="180"/>
      <c r="E228" s="180"/>
      <c r="F228" s="180"/>
      <c r="G228" s="180"/>
      <c r="H228" s="180"/>
      <c r="I228" s="180"/>
      <c r="J228" s="208"/>
    </row>
    <row r="229" spans="1:10" ht="23.4" x14ac:dyDescent="0.6">
      <c r="A229" s="180"/>
      <c r="B229" s="180"/>
      <c r="C229" s="180"/>
      <c r="D229" s="180"/>
      <c r="E229" s="180"/>
      <c r="F229" s="180"/>
      <c r="G229" s="180"/>
      <c r="H229" s="180"/>
      <c r="I229" s="180"/>
      <c r="J229" s="208"/>
    </row>
    <row r="230" spans="1:10" ht="23.4" x14ac:dyDescent="0.6">
      <c r="A230" s="180"/>
      <c r="B230" s="180"/>
      <c r="C230" s="180"/>
      <c r="D230" s="180"/>
      <c r="E230" s="180"/>
      <c r="F230" s="180"/>
      <c r="G230" s="180"/>
      <c r="H230" s="180"/>
      <c r="I230" s="180"/>
      <c r="J230" s="208"/>
    </row>
    <row r="231" spans="1:10" ht="23.4" x14ac:dyDescent="0.6">
      <c r="A231" s="180"/>
      <c r="B231" s="180"/>
      <c r="C231" s="180"/>
      <c r="D231" s="180"/>
      <c r="E231" s="180"/>
      <c r="F231" s="180"/>
      <c r="G231" s="180"/>
      <c r="H231" s="180"/>
      <c r="I231" s="180"/>
      <c r="J231" s="208"/>
    </row>
    <row r="232" spans="1:10" ht="23.4" x14ac:dyDescent="0.6">
      <c r="A232" s="180"/>
      <c r="B232" s="180"/>
      <c r="C232" s="180"/>
      <c r="D232" s="180"/>
      <c r="E232" s="180"/>
      <c r="F232" s="180"/>
      <c r="G232" s="180"/>
      <c r="H232" s="180"/>
      <c r="I232" s="180"/>
      <c r="J232" s="208"/>
    </row>
    <row r="233" spans="1:10" ht="23.4" x14ac:dyDescent="0.6">
      <c r="A233" s="180"/>
      <c r="B233" s="180"/>
      <c r="C233" s="180"/>
      <c r="D233" s="180"/>
      <c r="E233" s="180"/>
      <c r="F233" s="180"/>
      <c r="G233" s="180"/>
      <c r="H233" s="180"/>
      <c r="I233" s="180"/>
      <c r="J233" s="208"/>
    </row>
    <row r="234" spans="1:10" ht="23.4" x14ac:dyDescent="0.6">
      <c r="A234" s="180"/>
      <c r="B234" s="180"/>
      <c r="C234" s="180"/>
      <c r="D234" s="180"/>
      <c r="E234" s="180"/>
      <c r="F234" s="180"/>
      <c r="G234" s="180"/>
      <c r="H234" s="180"/>
      <c r="I234" s="180"/>
      <c r="J234" s="208"/>
    </row>
    <row r="235" spans="1:10" ht="23.4" x14ac:dyDescent="0.6">
      <c r="A235" s="180"/>
      <c r="B235" s="180"/>
      <c r="C235" s="180"/>
      <c r="D235" s="180"/>
      <c r="E235" s="180"/>
      <c r="F235" s="180"/>
      <c r="G235" s="180"/>
      <c r="H235" s="180"/>
      <c r="I235" s="180"/>
      <c r="J235" s="208"/>
    </row>
    <row r="236" spans="1:10" ht="23.4" x14ac:dyDescent="0.6">
      <c r="A236" s="180"/>
      <c r="B236" s="180"/>
      <c r="C236" s="180"/>
      <c r="D236" s="180"/>
      <c r="E236" s="180"/>
      <c r="F236" s="180"/>
      <c r="G236" s="180"/>
      <c r="H236" s="180"/>
      <c r="I236" s="180"/>
      <c r="J236" s="208"/>
    </row>
    <row r="237" spans="1:10" ht="23.4" x14ac:dyDescent="0.6">
      <c r="A237" s="180"/>
      <c r="B237" s="180"/>
      <c r="C237" s="180"/>
      <c r="D237" s="180"/>
      <c r="E237" s="180"/>
      <c r="F237" s="180"/>
      <c r="G237" s="180"/>
      <c r="H237" s="180"/>
      <c r="I237" s="180"/>
      <c r="J237" s="208"/>
    </row>
    <row r="238" spans="1:10" ht="23.4" x14ac:dyDescent="0.6">
      <c r="A238" s="180"/>
      <c r="B238" s="180"/>
      <c r="C238" s="180"/>
      <c r="D238" s="180"/>
      <c r="E238" s="180"/>
      <c r="F238" s="180"/>
      <c r="G238" s="180"/>
      <c r="H238" s="180"/>
      <c r="I238" s="180"/>
      <c r="J238" s="208"/>
    </row>
    <row r="239" spans="1:10" ht="23.4" x14ac:dyDescent="0.6">
      <c r="A239" s="180"/>
      <c r="B239" s="180"/>
      <c r="C239" s="180"/>
      <c r="D239" s="180"/>
      <c r="E239" s="180"/>
      <c r="F239" s="180"/>
      <c r="G239" s="180"/>
      <c r="H239" s="180"/>
      <c r="I239" s="180"/>
      <c r="J239" s="208"/>
    </row>
    <row r="240" spans="1:10" ht="23.4" x14ac:dyDescent="0.6">
      <c r="A240" s="180"/>
      <c r="B240" s="180"/>
      <c r="C240" s="180"/>
      <c r="D240" s="180"/>
      <c r="E240" s="180"/>
      <c r="F240" s="180"/>
      <c r="G240" s="180"/>
      <c r="H240" s="180"/>
      <c r="I240" s="180"/>
      <c r="J240" s="208"/>
    </row>
    <row r="241" spans="1:10" ht="23.4" x14ac:dyDescent="0.6">
      <c r="A241" s="180"/>
      <c r="B241" s="180"/>
      <c r="C241" s="180"/>
      <c r="D241" s="180"/>
      <c r="E241" s="180"/>
      <c r="F241" s="180"/>
      <c r="G241" s="180"/>
      <c r="H241" s="180"/>
      <c r="I241" s="180"/>
      <c r="J241" s="208"/>
    </row>
    <row r="242" spans="1:10" ht="23.4" x14ac:dyDescent="0.6">
      <c r="A242" s="180"/>
      <c r="B242" s="180"/>
      <c r="C242" s="180"/>
      <c r="D242" s="180"/>
      <c r="E242" s="180"/>
      <c r="F242" s="180"/>
      <c r="G242" s="180"/>
      <c r="H242" s="180"/>
      <c r="I242" s="180"/>
      <c r="J242" s="208"/>
    </row>
    <row r="243" spans="1:10" ht="23.4" x14ac:dyDescent="0.6">
      <c r="A243" s="180"/>
      <c r="B243" s="180"/>
      <c r="C243" s="180"/>
      <c r="D243" s="180"/>
      <c r="E243" s="180"/>
      <c r="F243" s="180"/>
      <c r="G243" s="180"/>
      <c r="H243" s="180"/>
      <c r="I243" s="180"/>
      <c r="J243" s="208"/>
    </row>
    <row r="244" spans="1:10" ht="23.4" x14ac:dyDescent="0.6">
      <c r="A244" s="180"/>
      <c r="B244" s="180"/>
      <c r="C244" s="180"/>
      <c r="D244" s="180"/>
      <c r="E244" s="180"/>
      <c r="F244" s="180"/>
      <c r="G244" s="180"/>
      <c r="H244" s="180"/>
      <c r="I244" s="180"/>
      <c r="J244" s="208"/>
    </row>
    <row r="245" spans="1:10" ht="23.4" x14ac:dyDescent="0.6">
      <c r="A245" s="180"/>
      <c r="B245" s="180"/>
      <c r="C245" s="180"/>
      <c r="D245" s="180"/>
      <c r="E245" s="180"/>
      <c r="F245" s="180"/>
      <c r="G245" s="180"/>
      <c r="H245" s="180"/>
      <c r="I245" s="180"/>
      <c r="J245" s="208"/>
    </row>
    <row r="246" spans="1:10" ht="23.4" x14ac:dyDescent="0.6">
      <c r="A246" s="180"/>
      <c r="B246" s="180"/>
      <c r="C246" s="180"/>
      <c r="D246" s="180"/>
      <c r="E246" s="180"/>
      <c r="F246" s="180"/>
      <c r="G246" s="180"/>
      <c r="H246" s="180"/>
      <c r="I246" s="180"/>
      <c r="J246" s="208"/>
    </row>
    <row r="247" spans="1:10" ht="23.4" x14ac:dyDescent="0.6">
      <c r="A247" s="180"/>
      <c r="B247" s="180"/>
      <c r="C247" s="180"/>
      <c r="D247" s="180"/>
      <c r="E247" s="180"/>
      <c r="F247" s="180"/>
      <c r="G247" s="180"/>
      <c r="H247" s="180"/>
      <c r="I247" s="180"/>
      <c r="J247" s="208"/>
    </row>
    <row r="248" spans="1:10" ht="23.4" x14ac:dyDescent="0.6">
      <c r="A248" s="180"/>
      <c r="B248" s="180"/>
      <c r="C248" s="180"/>
      <c r="D248" s="180"/>
      <c r="E248" s="180"/>
      <c r="F248" s="180"/>
      <c r="G248" s="180"/>
      <c r="H248" s="180"/>
      <c r="I248" s="180"/>
      <c r="J248" s="208"/>
    </row>
    <row r="249" spans="1:10" ht="23.4" x14ac:dyDescent="0.6">
      <c r="A249" s="180"/>
      <c r="B249" s="180"/>
      <c r="C249" s="180"/>
      <c r="D249" s="180"/>
      <c r="E249" s="180"/>
      <c r="F249" s="180"/>
      <c r="G249" s="180"/>
      <c r="H249" s="180"/>
      <c r="I249" s="180"/>
      <c r="J249" s="208"/>
    </row>
    <row r="250" spans="1:10" ht="23.4" x14ac:dyDescent="0.6">
      <c r="A250" s="180"/>
      <c r="B250" s="180"/>
      <c r="C250" s="180"/>
      <c r="D250" s="180"/>
      <c r="E250" s="180"/>
      <c r="F250" s="180"/>
      <c r="G250" s="180"/>
      <c r="H250" s="180"/>
      <c r="I250" s="180"/>
      <c r="J250" s="208"/>
    </row>
    <row r="251" spans="1:10" ht="23.4" x14ac:dyDescent="0.6">
      <c r="A251" s="180"/>
      <c r="B251" s="180"/>
      <c r="C251" s="180"/>
      <c r="D251" s="180"/>
      <c r="E251" s="180"/>
      <c r="F251" s="180"/>
      <c r="G251" s="180"/>
      <c r="H251" s="180"/>
      <c r="I251" s="180"/>
      <c r="J251" s="208"/>
    </row>
    <row r="252" spans="1:10" ht="23.4" x14ac:dyDescent="0.6">
      <c r="A252" s="180"/>
      <c r="B252" s="180"/>
      <c r="C252" s="180"/>
      <c r="D252" s="180"/>
      <c r="E252" s="180"/>
      <c r="F252" s="180"/>
      <c r="G252" s="180"/>
      <c r="H252" s="180"/>
      <c r="I252" s="180"/>
      <c r="J252" s="208"/>
    </row>
    <row r="253" spans="1:10" ht="23.4" x14ac:dyDescent="0.6">
      <c r="A253" s="180"/>
      <c r="B253" s="180"/>
      <c r="C253" s="180"/>
      <c r="D253" s="180"/>
      <c r="E253" s="180"/>
      <c r="F253" s="180"/>
      <c r="G253" s="180"/>
      <c r="H253" s="180"/>
      <c r="I253" s="180"/>
      <c r="J253" s="208"/>
    </row>
    <row r="254" spans="1:10" ht="23.4" x14ac:dyDescent="0.6">
      <c r="A254" s="180"/>
      <c r="B254" s="180"/>
      <c r="C254" s="180"/>
      <c r="D254" s="180"/>
      <c r="E254" s="180"/>
      <c r="F254" s="180"/>
      <c r="G254" s="180"/>
      <c r="H254" s="180"/>
      <c r="I254" s="180"/>
      <c r="J254" s="208"/>
    </row>
    <row r="255" spans="1:10" ht="23.4" x14ac:dyDescent="0.6">
      <c r="A255" s="180"/>
      <c r="B255" s="180"/>
      <c r="C255" s="180"/>
      <c r="D255" s="180"/>
      <c r="E255" s="180"/>
      <c r="F255" s="180"/>
      <c r="G255" s="180"/>
      <c r="H255" s="180"/>
      <c r="I255" s="180"/>
      <c r="J255" s="208"/>
    </row>
    <row r="256" spans="1:10" ht="23.4" x14ac:dyDescent="0.6">
      <c r="A256" s="180"/>
      <c r="B256" s="180"/>
      <c r="C256" s="180"/>
      <c r="D256" s="180"/>
      <c r="E256" s="180"/>
      <c r="F256" s="180"/>
      <c r="G256" s="180"/>
      <c r="H256" s="180"/>
      <c r="I256" s="180"/>
      <c r="J256" s="208"/>
    </row>
    <row r="257" spans="1:10" ht="23.4" x14ac:dyDescent="0.6">
      <c r="A257" s="180"/>
      <c r="B257" s="180"/>
      <c r="C257" s="180"/>
      <c r="D257" s="180"/>
      <c r="E257" s="180"/>
      <c r="F257" s="180"/>
      <c r="G257" s="180"/>
      <c r="H257" s="180"/>
      <c r="I257" s="180"/>
      <c r="J257" s="208"/>
    </row>
    <row r="258" spans="1:10" ht="23.4" x14ac:dyDescent="0.6">
      <c r="A258" s="180"/>
      <c r="B258" s="180"/>
      <c r="C258" s="180"/>
      <c r="D258" s="180"/>
      <c r="E258" s="180"/>
      <c r="F258" s="180"/>
      <c r="G258" s="180"/>
      <c r="H258" s="180"/>
      <c r="I258" s="180"/>
      <c r="J258" s="208"/>
    </row>
    <row r="259" spans="1:10" ht="23.4" x14ac:dyDescent="0.6">
      <c r="A259" s="180"/>
      <c r="B259" s="180"/>
      <c r="C259" s="180"/>
      <c r="D259" s="180"/>
      <c r="E259" s="180"/>
      <c r="F259" s="180"/>
      <c r="G259" s="180"/>
      <c r="H259" s="180"/>
      <c r="I259" s="180"/>
      <c r="J259" s="208"/>
    </row>
    <row r="260" spans="1:10" ht="23.4" x14ac:dyDescent="0.6">
      <c r="A260" s="180"/>
      <c r="B260" s="180"/>
      <c r="C260" s="180"/>
      <c r="D260" s="180"/>
      <c r="E260" s="180"/>
      <c r="F260" s="180"/>
      <c r="G260" s="180"/>
      <c r="H260" s="180"/>
      <c r="I260" s="180"/>
      <c r="J260" s="208"/>
    </row>
    <row r="261" spans="1:10" ht="23.4" x14ac:dyDescent="0.6">
      <c r="A261" s="180"/>
      <c r="B261" s="180"/>
      <c r="C261" s="180"/>
      <c r="D261" s="180"/>
      <c r="E261" s="180"/>
      <c r="F261" s="180"/>
      <c r="G261" s="180"/>
      <c r="H261" s="180"/>
      <c r="I261" s="180"/>
      <c r="J261" s="208"/>
    </row>
    <row r="262" spans="1:10" ht="23.4" x14ac:dyDescent="0.6">
      <c r="A262" s="180"/>
      <c r="B262" s="180"/>
      <c r="C262" s="180"/>
      <c r="D262" s="180"/>
      <c r="E262" s="180"/>
      <c r="F262" s="180"/>
      <c r="G262" s="180"/>
      <c r="H262" s="180"/>
      <c r="I262" s="180"/>
      <c r="J262" s="208"/>
    </row>
    <row r="263" spans="1:10" ht="23.4" x14ac:dyDescent="0.6">
      <c r="A263" s="180"/>
      <c r="B263" s="180"/>
      <c r="C263" s="180"/>
      <c r="D263" s="180"/>
      <c r="E263" s="180"/>
      <c r="F263" s="180"/>
      <c r="G263" s="180"/>
      <c r="H263" s="180"/>
      <c r="I263" s="180"/>
      <c r="J263" s="208"/>
    </row>
    <row r="264" spans="1:10" ht="23.4" x14ac:dyDescent="0.6">
      <c r="A264" s="180"/>
      <c r="B264" s="180"/>
      <c r="C264" s="180"/>
      <c r="D264" s="180"/>
      <c r="E264" s="180"/>
      <c r="F264" s="180"/>
      <c r="G264" s="180"/>
      <c r="H264" s="180"/>
      <c r="I264" s="180"/>
      <c r="J264" s="208"/>
    </row>
    <row r="265" spans="1:10" ht="23.4" x14ac:dyDescent="0.6">
      <c r="A265" s="180"/>
      <c r="B265" s="180"/>
      <c r="C265" s="180"/>
      <c r="D265" s="180"/>
      <c r="E265" s="180"/>
      <c r="F265" s="180"/>
      <c r="G265" s="180"/>
      <c r="H265" s="180"/>
      <c r="I265" s="180"/>
      <c r="J265" s="208"/>
    </row>
    <row r="266" spans="1:10" ht="23.4" x14ac:dyDescent="0.6">
      <c r="A266" s="180"/>
      <c r="B266" s="180"/>
      <c r="C266" s="180"/>
      <c r="D266" s="180"/>
      <c r="E266" s="180"/>
      <c r="F266" s="180"/>
      <c r="G266" s="180"/>
      <c r="H266" s="180"/>
      <c r="I266" s="180"/>
      <c r="J266" s="208"/>
    </row>
    <row r="267" spans="1:10" ht="23.4" x14ac:dyDescent="0.6">
      <c r="A267" s="180"/>
      <c r="B267" s="180"/>
      <c r="C267" s="180"/>
      <c r="D267" s="180"/>
      <c r="E267" s="180"/>
      <c r="F267" s="180"/>
      <c r="G267" s="180"/>
      <c r="H267" s="180"/>
      <c r="I267" s="180"/>
      <c r="J267" s="208"/>
    </row>
    <row r="268" spans="1:10" ht="23.4" x14ac:dyDescent="0.6">
      <c r="A268" s="180"/>
      <c r="B268" s="180"/>
      <c r="C268" s="180"/>
      <c r="D268" s="180"/>
      <c r="E268" s="180"/>
      <c r="F268" s="180"/>
      <c r="G268" s="180"/>
      <c r="H268" s="180"/>
      <c r="I268" s="180"/>
      <c r="J268" s="208"/>
    </row>
    <row r="269" spans="1:10" ht="23.4" x14ac:dyDescent="0.6">
      <c r="A269" s="180"/>
      <c r="B269" s="180"/>
      <c r="C269" s="180"/>
      <c r="D269" s="180"/>
      <c r="E269" s="180"/>
      <c r="F269" s="180"/>
      <c r="G269" s="180"/>
      <c r="H269" s="180"/>
      <c r="I269" s="180"/>
      <c r="J269" s="208"/>
    </row>
    <row r="270" spans="1:10" ht="23.4" x14ac:dyDescent="0.6">
      <c r="A270" s="180"/>
      <c r="B270" s="180"/>
      <c r="C270" s="180"/>
      <c r="D270" s="180"/>
      <c r="E270" s="180"/>
      <c r="F270" s="180"/>
      <c r="G270" s="180"/>
      <c r="H270" s="180"/>
      <c r="I270" s="180"/>
      <c r="J270" s="208"/>
    </row>
    <row r="271" spans="1:10" ht="23.4" x14ac:dyDescent="0.6">
      <c r="A271" s="180"/>
      <c r="B271" s="180"/>
      <c r="C271" s="180"/>
      <c r="D271" s="180"/>
      <c r="E271" s="180"/>
      <c r="F271" s="180"/>
      <c r="G271" s="180"/>
      <c r="H271" s="180"/>
      <c r="I271" s="180"/>
      <c r="J271" s="208"/>
    </row>
    <row r="272" spans="1:10" ht="23.4" x14ac:dyDescent="0.6">
      <c r="A272" s="180"/>
      <c r="B272" s="180"/>
      <c r="C272" s="180"/>
      <c r="D272" s="180"/>
      <c r="E272" s="180"/>
      <c r="F272" s="180"/>
      <c r="G272" s="180"/>
      <c r="H272" s="180"/>
      <c r="I272" s="180"/>
      <c r="J272" s="208"/>
    </row>
    <row r="273" spans="1:10" ht="23.4" x14ac:dyDescent="0.6">
      <c r="A273" s="180"/>
      <c r="B273" s="180"/>
      <c r="C273" s="180"/>
      <c r="D273" s="180"/>
      <c r="E273" s="180"/>
      <c r="F273" s="180"/>
      <c r="G273" s="180"/>
      <c r="H273" s="180"/>
      <c r="I273" s="180"/>
      <c r="J273" s="208"/>
    </row>
    <row r="274" spans="1:10" ht="23.4" x14ac:dyDescent="0.6">
      <c r="A274" s="180"/>
      <c r="B274" s="180"/>
      <c r="C274" s="180"/>
      <c r="D274" s="180"/>
      <c r="E274" s="180"/>
      <c r="F274" s="180"/>
      <c r="G274" s="180"/>
      <c r="H274" s="180"/>
      <c r="I274" s="180"/>
      <c r="J274" s="208"/>
    </row>
    <row r="275" spans="1:10" ht="23.4" x14ac:dyDescent="0.6">
      <c r="A275" s="180"/>
      <c r="B275" s="180"/>
      <c r="C275" s="180"/>
      <c r="D275" s="180"/>
      <c r="E275" s="180"/>
      <c r="F275" s="180"/>
      <c r="G275" s="180"/>
      <c r="H275" s="180"/>
      <c r="I275" s="180"/>
      <c r="J275" s="208"/>
    </row>
    <row r="276" spans="1:10" ht="23.4" x14ac:dyDescent="0.6">
      <c r="A276" s="180"/>
      <c r="B276" s="180"/>
      <c r="C276" s="180"/>
      <c r="D276" s="180"/>
      <c r="E276" s="180"/>
      <c r="F276" s="180"/>
      <c r="G276" s="180"/>
      <c r="H276" s="180"/>
      <c r="I276" s="180"/>
      <c r="J276" s="208"/>
    </row>
    <row r="277" spans="1:10" ht="23.4" x14ac:dyDescent="0.6">
      <c r="A277" s="180"/>
      <c r="B277" s="180"/>
      <c r="C277" s="180"/>
      <c r="D277" s="180"/>
      <c r="E277" s="180"/>
      <c r="F277" s="180"/>
      <c r="G277" s="180"/>
      <c r="H277" s="180"/>
      <c r="I277" s="180"/>
      <c r="J277" s="208"/>
    </row>
    <row r="278" spans="1:10" ht="23.4" x14ac:dyDescent="0.6">
      <c r="A278" s="180"/>
      <c r="B278" s="180"/>
      <c r="C278" s="180"/>
      <c r="D278" s="180"/>
      <c r="E278" s="180"/>
      <c r="F278" s="180"/>
      <c r="G278" s="180"/>
      <c r="H278" s="180"/>
      <c r="I278" s="180"/>
      <c r="J278" s="208"/>
    </row>
    <row r="279" spans="1:10" ht="23.4" x14ac:dyDescent="0.6">
      <c r="A279" s="180"/>
      <c r="B279" s="180"/>
      <c r="C279" s="180"/>
      <c r="D279" s="180"/>
      <c r="E279" s="180"/>
      <c r="F279" s="180"/>
      <c r="G279" s="180"/>
      <c r="H279" s="180"/>
      <c r="I279" s="180"/>
      <c r="J279" s="208"/>
    </row>
    <row r="280" spans="1:10" ht="23.4" x14ac:dyDescent="0.6">
      <c r="A280" s="180"/>
      <c r="B280" s="180"/>
      <c r="C280" s="180"/>
      <c r="D280" s="180"/>
      <c r="E280" s="180"/>
      <c r="F280" s="180"/>
      <c r="G280" s="180"/>
      <c r="H280" s="180"/>
      <c r="I280" s="180"/>
      <c r="J280" s="208"/>
    </row>
    <row r="281" spans="1:10" ht="23.4" x14ac:dyDescent="0.6">
      <c r="A281" s="180"/>
      <c r="B281" s="180"/>
      <c r="C281" s="180"/>
      <c r="D281" s="180"/>
      <c r="E281" s="180"/>
      <c r="F281" s="180"/>
      <c r="G281" s="180"/>
      <c r="H281" s="180"/>
      <c r="I281" s="180"/>
      <c r="J281" s="208"/>
    </row>
    <row r="282" spans="1:10" ht="23.4" x14ac:dyDescent="0.6">
      <c r="A282" s="180"/>
      <c r="B282" s="180"/>
      <c r="C282" s="180"/>
      <c r="D282" s="180"/>
      <c r="E282" s="180"/>
      <c r="F282" s="180"/>
      <c r="G282" s="180"/>
      <c r="H282" s="180"/>
      <c r="I282" s="180"/>
      <c r="J282" s="208"/>
    </row>
    <row r="283" spans="1:10" ht="23.4" x14ac:dyDescent="0.6">
      <c r="A283" s="180"/>
      <c r="B283" s="180"/>
      <c r="C283" s="180"/>
      <c r="D283" s="180"/>
      <c r="E283" s="180"/>
      <c r="F283" s="180"/>
      <c r="G283" s="180"/>
      <c r="H283" s="180"/>
      <c r="I283" s="180"/>
      <c r="J283" s="208"/>
    </row>
    <row r="284" spans="1:10" ht="23.4" x14ac:dyDescent="0.6">
      <c r="A284" s="180"/>
      <c r="B284" s="180"/>
      <c r="C284" s="180"/>
      <c r="D284" s="180"/>
      <c r="E284" s="180"/>
      <c r="F284" s="180"/>
      <c r="G284" s="180"/>
      <c r="H284" s="180"/>
      <c r="I284" s="180"/>
      <c r="J284" s="208"/>
    </row>
    <row r="285" spans="1:10" ht="23.4" x14ac:dyDescent="0.6">
      <c r="A285" s="180"/>
      <c r="B285" s="180"/>
      <c r="C285" s="180"/>
      <c r="D285" s="180"/>
      <c r="E285" s="180"/>
      <c r="F285" s="180"/>
      <c r="G285" s="180"/>
      <c r="H285" s="180"/>
      <c r="I285" s="180"/>
      <c r="J285" s="208"/>
    </row>
    <row r="286" spans="1:10" ht="23.4" x14ac:dyDescent="0.6">
      <c r="A286" s="180"/>
      <c r="B286" s="180"/>
      <c r="C286" s="180"/>
      <c r="D286" s="180"/>
      <c r="E286" s="180"/>
      <c r="F286" s="180"/>
      <c r="G286" s="180"/>
      <c r="H286" s="180"/>
      <c r="I286" s="180"/>
      <c r="J286" s="208"/>
    </row>
    <row r="287" spans="1:10" ht="23.4" x14ac:dyDescent="0.6">
      <c r="A287" s="180"/>
      <c r="B287" s="180"/>
      <c r="C287" s="180"/>
      <c r="D287" s="180"/>
      <c r="E287" s="180"/>
      <c r="F287" s="180"/>
      <c r="G287" s="180"/>
      <c r="H287" s="180"/>
      <c r="I287" s="180"/>
      <c r="J287" s="208"/>
    </row>
    <row r="288" spans="1:10" ht="23.4" x14ac:dyDescent="0.6">
      <c r="A288" s="180"/>
      <c r="B288" s="180"/>
      <c r="C288" s="180"/>
      <c r="D288" s="180"/>
      <c r="E288" s="180"/>
      <c r="F288" s="180"/>
      <c r="G288" s="180"/>
      <c r="H288" s="180"/>
      <c r="I288" s="180"/>
      <c r="J288" s="208"/>
    </row>
    <row r="289" spans="1:10" ht="23.4" x14ac:dyDescent="0.6">
      <c r="A289" s="180"/>
      <c r="B289" s="180"/>
      <c r="C289" s="180"/>
      <c r="D289" s="180"/>
      <c r="E289" s="180"/>
      <c r="F289" s="180"/>
      <c r="G289" s="180"/>
      <c r="H289" s="180"/>
      <c r="I289" s="180"/>
      <c r="J289" s="208"/>
    </row>
    <row r="290" spans="1:10" ht="23.4" x14ac:dyDescent="0.6">
      <c r="A290" s="180"/>
      <c r="B290" s="180"/>
      <c r="C290" s="180"/>
      <c r="D290" s="180"/>
      <c r="E290" s="180"/>
      <c r="F290" s="180"/>
      <c r="G290" s="180"/>
      <c r="H290" s="180"/>
      <c r="I290" s="180"/>
      <c r="J290" s="208"/>
    </row>
    <row r="291" spans="1:10" ht="23.4" x14ac:dyDescent="0.6">
      <c r="A291" s="180"/>
      <c r="B291" s="180"/>
      <c r="C291" s="180"/>
      <c r="D291" s="180"/>
      <c r="E291" s="180"/>
      <c r="F291" s="180"/>
      <c r="G291" s="180"/>
      <c r="H291" s="180"/>
      <c r="I291" s="180"/>
      <c r="J291" s="208"/>
    </row>
    <row r="292" spans="1:10" ht="23.4" x14ac:dyDescent="0.6">
      <c r="A292" s="180"/>
      <c r="B292" s="180"/>
      <c r="C292" s="180"/>
      <c r="D292" s="180"/>
      <c r="E292" s="180"/>
      <c r="F292" s="180"/>
      <c r="G292" s="180"/>
      <c r="H292" s="180"/>
      <c r="I292" s="180"/>
      <c r="J292" s="208"/>
    </row>
    <row r="293" spans="1:10" ht="23.4" x14ac:dyDescent="0.6">
      <c r="A293" s="180"/>
      <c r="B293" s="180"/>
      <c r="C293" s="180"/>
      <c r="D293" s="180"/>
      <c r="E293" s="180"/>
      <c r="F293" s="180"/>
      <c r="G293" s="180"/>
      <c r="H293" s="180"/>
      <c r="I293" s="180"/>
      <c r="J293" s="208"/>
    </row>
    <row r="294" spans="1:10" ht="23.4" x14ac:dyDescent="0.6">
      <c r="A294" s="180"/>
      <c r="B294" s="180"/>
      <c r="C294" s="180"/>
      <c r="D294" s="180"/>
      <c r="E294" s="180"/>
      <c r="F294" s="180"/>
      <c r="G294" s="180"/>
      <c r="H294" s="180"/>
      <c r="I294" s="180"/>
      <c r="J294" s="208"/>
    </row>
    <row r="295" spans="1:10" ht="23.4" x14ac:dyDescent="0.6">
      <c r="A295" s="180"/>
      <c r="B295" s="180"/>
      <c r="C295" s="180"/>
      <c r="D295" s="180"/>
      <c r="E295" s="180"/>
      <c r="F295" s="180"/>
      <c r="G295" s="180"/>
      <c r="H295" s="180"/>
      <c r="I295" s="180"/>
      <c r="J295" s="208"/>
    </row>
    <row r="296" spans="1:10" ht="23.4" x14ac:dyDescent="0.6">
      <c r="A296" s="180"/>
      <c r="B296" s="180"/>
      <c r="C296" s="180"/>
      <c r="D296" s="180"/>
      <c r="E296" s="180"/>
      <c r="F296" s="180"/>
      <c r="G296" s="180"/>
      <c r="H296" s="180"/>
      <c r="I296" s="180"/>
      <c r="J296" s="208"/>
    </row>
    <row r="297" spans="1:10" ht="23.4" x14ac:dyDescent="0.6">
      <c r="A297" s="180"/>
      <c r="B297" s="180"/>
      <c r="C297" s="180"/>
      <c r="D297" s="180"/>
      <c r="E297" s="180"/>
      <c r="F297" s="180"/>
      <c r="G297" s="180"/>
      <c r="H297" s="180"/>
      <c r="I297" s="180"/>
      <c r="J297" s="208"/>
    </row>
    <row r="298" spans="1:10" ht="23.4" x14ac:dyDescent="0.6">
      <c r="A298" s="180"/>
      <c r="B298" s="180"/>
      <c r="C298" s="180"/>
      <c r="D298" s="180"/>
      <c r="E298" s="180"/>
      <c r="F298" s="180"/>
      <c r="G298" s="180"/>
      <c r="H298" s="180"/>
      <c r="I298" s="180"/>
      <c r="J298" s="208"/>
    </row>
    <row r="299" spans="1:10" ht="23.4" x14ac:dyDescent="0.6">
      <c r="A299" s="180"/>
      <c r="B299" s="180"/>
      <c r="C299" s="180"/>
      <c r="D299" s="180"/>
      <c r="E299" s="180"/>
      <c r="F299" s="180"/>
      <c r="G299" s="180"/>
      <c r="H299" s="180"/>
      <c r="I299" s="180"/>
      <c r="J299" s="208"/>
    </row>
    <row r="300" spans="1:10" ht="23.4" x14ac:dyDescent="0.6">
      <c r="A300" s="180"/>
      <c r="B300" s="180"/>
      <c r="C300" s="180"/>
      <c r="D300" s="180"/>
      <c r="E300" s="180"/>
      <c r="F300" s="180"/>
      <c r="G300" s="180"/>
      <c r="H300" s="180"/>
      <c r="I300" s="180"/>
      <c r="J300" s="208"/>
    </row>
    <row r="301" spans="1:10" ht="23.4" x14ac:dyDescent="0.6">
      <c r="A301" s="180"/>
      <c r="B301" s="180"/>
      <c r="C301" s="180"/>
      <c r="D301" s="180"/>
      <c r="E301" s="180"/>
      <c r="F301" s="180"/>
      <c r="G301" s="180"/>
      <c r="H301" s="180"/>
      <c r="I301" s="180"/>
      <c r="J301" s="208"/>
    </row>
    <row r="302" spans="1:10" ht="23.4" x14ac:dyDescent="0.6">
      <c r="A302" s="180"/>
      <c r="B302" s="180"/>
      <c r="C302" s="180"/>
      <c r="D302" s="180"/>
      <c r="E302" s="180"/>
      <c r="F302" s="180"/>
      <c r="G302" s="180"/>
      <c r="H302" s="180"/>
      <c r="I302" s="180"/>
      <c r="J302" s="208"/>
    </row>
    <row r="303" spans="1:10" ht="23.4" x14ac:dyDescent="0.6">
      <c r="A303" s="180"/>
      <c r="B303" s="180"/>
      <c r="C303" s="180"/>
      <c r="D303" s="180"/>
      <c r="E303" s="180"/>
      <c r="F303" s="180"/>
      <c r="G303" s="180"/>
      <c r="H303" s="180"/>
      <c r="I303" s="180"/>
      <c r="J303" s="208"/>
    </row>
    <row r="304" spans="1:10" ht="23.4" x14ac:dyDescent="0.6">
      <c r="A304" s="180"/>
      <c r="B304" s="180"/>
      <c r="C304" s="180"/>
      <c r="D304" s="180"/>
      <c r="E304" s="180"/>
      <c r="F304" s="180"/>
      <c r="G304" s="180"/>
      <c r="H304" s="180"/>
      <c r="I304" s="180"/>
      <c r="J304" s="208"/>
    </row>
    <row r="305" spans="1:10" ht="23.4" x14ac:dyDescent="0.6">
      <c r="A305" s="180"/>
      <c r="B305" s="180"/>
      <c r="C305" s="180"/>
      <c r="D305" s="180"/>
      <c r="E305" s="180"/>
      <c r="F305" s="180"/>
      <c r="G305" s="180"/>
      <c r="H305" s="180"/>
      <c r="I305" s="180"/>
      <c r="J305" s="208"/>
    </row>
    <row r="306" spans="1:10" ht="23.4" x14ac:dyDescent="0.6">
      <c r="A306" s="180"/>
      <c r="B306" s="180"/>
      <c r="C306" s="180"/>
      <c r="D306" s="180"/>
      <c r="E306" s="180"/>
      <c r="F306" s="180"/>
      <c r="G306" s="180"/>
      <c r="H306" s="180"/>
      <c r="I306" s="180"/>
      <c r="J306" s="208"/>
    </row>
    <row r="307" spans="1:10" ht="23.4" x14ac:dyDescent="0.6">
      <c r="A307" s="180"/>
      <c r="B307" s="180"/>
      <c r="C307" s="180"/>
      <c r="D307" s="180"/>
      <c r="E307" s="180"/>
      <c r="F307" s="180"/>
      <c r="G307" s="180"/>
      <c r="H307" s="180"/>
      <c r="I307" s="180"/>
      <c r="J307" s="208"/>
    </row>
    <row r="308" spans="1:10" ht="23.4" x14ac:dyDescent="0.6">
      <c r="A308" s="180"/>
      <c r="B308" s="180"/>
      <c r="C308" s="180"/>
      <c r="D308" s="180"/>
      <c r="E308" s="180"/>
      <c r="F308" s="180"/>
      <c r="G308" s="180"/>
      <c r="H308" s="180"/>
      <c r="I308" s="180"/>
      <c r="J308" s="208"/>
    </row>
    <row r="309" spans="1:10" ht="23.4" x14ac:dyDescent="0.6">
      <c r="A309" s="180"/>
      <c r="B309" s="180"/>
      <c r="C309" s="180"/>
      <c r="D309" s="180"/>
      <c r="E309" s="180"/>
      <c r="F309" s="180"/>
      <c r="G309" s="180"/>
      <c r="H309" s="180"/>
      <c r="I309" s="180"/>
      <c r="J309" s="208"/>
    </row>
    <row r="310" spans="1:10" ht="23.4" x14ac:dyDescent="0.6">
      <c r="A310" s="180"/>
      <c r="B310" s="180"/>
      <c r="C310" s="180"/>
      <c r="D310" s="180"/>
      <c r="E310" s="180"/>
      <c r="F310" s="180"/>
      <c r="G310" s="180"/>
      <c r="H310" s="180"/>
      <c r="I310" s="180"/>
      <c r="J310" s="208"/>
    </row>
    <row r="311" spans="1:10" ht="23.4" x14ac:dyDescent="0.6">
      <c r="A311" s="180"/>
      <c r="B311" s="180"/>
      <c r="C311" s="180"/>
      <c r="D311" s="180"/>
      <c r="E311" s="180"/>
      <c r="F311" s="180"/>
      <c r="G311" s="180"/>
      <c r="H311" s="180"/>
      <c r="I311" s="180"/>
      <c r="J311" s="208"/>
    </row>
    <row r="312" spans="1:10" ht="23.4" x14ac:dyDescent="0.6">
      <c r="A312" s="180"/>
      <c r="B312" s="180"/>
      <c r="C312" s="180"/>
      <c r="D312" s="180"/>
      <c r="E312" s="180"/>
      <c r="F312" s="180"/>
      <c r="G312" s="180"/>
      <c r="H312" s="180"/>
      <c r="I312" s="180"/>
      <c r="J312" s="208"/>
    </row>
    <row r="313" spans="1:10" ht="23.4" x14ac:dyDescent="0.6">
      <c r="A313" s="180"/>
      <c r="B313" s="180"/>
      <c r="C313" s="180"/>
      <c r="D313" s="180"/>
      <c r="E313" s="180"/>
      <c r="F313" s="180"/>
      <c r="G313" s="180"/>
      <c r="H313" s="180"/>
      <c r="I313" s="180"/>
      <c r="J313" s="208"/>
    </row>
    <row r="314" spans="1:10" ht="23.4" x14ac:dyDescent="0.6">
      <c r="A314" s="180"/>
      <c r="B314" s="180"/>
      <c r="C314" s="180"/>
      <c r="D314" s="180"/>
      <c r="E314" s="180"/>
      <c r="F314" s="180"/>
      <c r="G314" s="180"/>
      <c r="H314" s="180"/>
      <c r="I314" s="180"/>
      <c r="J314" s="208"/>
    </row>
    <row r="315" spans="1:10" ht="23.4" x14ac:dyDescent="0.6">
      <c r="A315" s="180"/>
      <c r="B315" s="180"/>
      <c r="C315" s="180"/>
      <c r="D315" s="180"/>
      <c r="E315" s="180"/>
      <c r="F315" s="180"/>
      <c r="G315" s="180"/>
      <c r="H315" s="180"/>
      <c r="I315" s="180"/>
      <c r="J315" s="208"/>
    </row>
    <row r="316" spans="1:10" ht="23.4" x14ac:dyDescent="0.6">
      <c r="A316" s="180"/>
      <c r="B316" s="180"/>
      <c r="C316" s="180"/>
      <c r="D316" s="180"/>
      <c r="E316" s="180"/>
      <c r="F316" s="180"/>
      <c r="G316" s="180"/>
      <c r="H316" s="180"/>
      <c r="I316" s="180"/>
      <c r="J316" s="208"/>
    </row>
    <row r="317" spans="1:10" ht="23.4" x14ac:dyDescent="0.6">
      <c r="A317" s="180"/>
      <c r="B317" s="180"/>
      <c r="C317" s="180"/>
      <c r="D317" s="180"/>
      <c r="E317" s="180"/>
      <c r="F317" s="180"/>
      <c r="G317" s="180"/>
      <c r="H317" s="180"/>
      <c r="I317" s="180"/>
      <c r="J317" s="208"/>
    </row>
    <row r="318" spans="1:10" ht="23.4" x14ac:dyDescent="0.6">
      <c r="A318" s="180"/>
      <c r="B318" s="180"/>
      <c r="C318" s="180"/>
      <c r="D318" s="180"/>
      <c r="E318" s="180"/>
      <c r="F318" s="180"/>
      <c r="G318" s="180"/>
      <c r="H318" s="180"/>
      <c r="I318" s="180"/>
      <c r="J318" s="208"/>
    </row>
    <row r="319" spans="1:10" ht="23.4" x14ac:dyDescent="0.6">
      <c r="A319" s="180"/>
      <c r="B319" s="180"/>
      <c r="C319" s="180"/>
      <c r="D319" s="180"/>
      <c r="E319" s="180"/>
      <c r="F319" s="180"/>
      <c r="G319" s="180"/>
      <c r="H319" s="180"/>
      <c r="I319" s="180"/>
      <c r="J319" s="208"/>
    </row>
    <row r="320" spans="1:10" ht="23.4" x14ac:dyDescent="0.6">
      <c r="A320" s="180"/>
      <c r="B320" s="180"/>
      <c r="C320" s="180"/>
      <c r="D320" s="180"/>
      <c r="E320" s="180"/>
      <c r="F320" s="180"/>
      <c r="G320" s="180"/>
      <c r="H320" s="180"/>
      <c r="I320" s="180"/>
      <c r="J320" s="208"/>
    </row>
    <row r="321" spans="1:10" ht="23.4" x14ac:dyDescent="0.6">
      <c r="A321" s="180"/>
      <c r="B321" s="180"/>
      <c r="C321" s="180"/>
      <c r="D321" s="180"/>
      <c r="E321" s="180"/>
      <c r="F321" s="180"/>
      <c r="G321" s="180"/>
      <c r="H321" s="180"/>
      <c r="I321" s="180"/>
      <c r="J321" s="208"/>
    </row>
    <row r="322" spans="1:10" ht="23.4" x14ac:dyDescent="0.6">
      <c r="A322" s="180"/>
      <c r="B322" s="180"/>
      <c r="C322" s="180"/>
      <c r="D322" s="180"/>
      <c r="E322" s="180"/>
      <c r="F322" s="180"/>
      <c r="G322" s="180"/>
      <c r="H322" s="180"/>
      <c r="I322" s="180"/>
      <c r="J322" s="208"/>
    </row>
    <row r="323" spans="1:10" ht="23.4" x14ac:dyDescent="0.6">
      <c r="A323" s="180"/>
      <c r="B323" s="180"/>
      <c r="C323" s="180"/>
      <c r="D323" s="180"/>
      <c r="E323" s="180"/>
      <c r="F323" s="180"/>
      <c r="G323" s="180"/>
      <c r="H323" s="180"/>
      <c r="I323" s="180"/>
      <c r="J323" s="208"/>
    </row>
    <row r="324" spans="1:10" ht="23.4" x14ac:dyDescent="0.6">
      <c r="A324" s="180"/>
      <c r="B324" s="180"/>
      <c r="C324" s="180"/>
      <c r="D324" s="180"/>
      <c r="E324" s="180"/>
      <c r="F324" s="180"/>
      <c r="G324" s="180"/>
      <c r="H324" s="180"/>
      <c r="I324" s="180"/>
      <c r="J324" s="208"/>
    </row>
    <row r="325" spans="1:10" ht="23.4" x14ac:dyDescent="0.6">
      <c r="A325" s="180"/>
      <c r="B325" s="180"/>
      <c r="C325" s="180"/>
      <c r="D325" s="180"/>
      <c r="E325" s="180"/>
      <c r="F325" s="180"/>
      <c r="G325" s="180"/>
      <c r="H325" s="180"/>
      <c r="I325" s="180"/>
      <c r="J325" s="208"/>
    </row>
    <row r="326" spans="1:10" ht="23.4" x14ac:dyDescent="0.6">
      <c r="A326" s="180"/>
      <c r="B326" s="180"/>
      <c r="C326" s="180"/>
      <c r="D326" s="180"/>
      <c r="E326" s="180"/>
      <c r="F326" s="180"/>
      <c r="G326" s="180"/>
      <c r="H326" s="180"/>
      <c r="I326" s="180"/>
      <c r="J326" s="208"/>
    </row>
    <row r="327" spans="1:10" ht="23.4" x14ac:dyDescent="0.6">
      <c r="A327" s="180"/>
      <c r="B327" s="180"/>
      <c r="C327" s="180"/>
      <c r="D327" s="180"/>
      <c r="E327" s="180"/>
      <c r="F327" s="180"/>
      <c r="G327" s="180"/>
      <c r="H327" s="180"/>
      <c r="I327" s="180"/>
      <c r="J327" s="208"/>
    </row>
    <row r="328" spans="1:10" ht="23.4" x14ac:dyDescent="0.6">
      <c r="A328" s="180"/>
      <c r="B328" s="180"/>
      <c r="C328" s="180"/>
      <c r="D328" s="180"/>
      <c r="E328" s="180"/>
      <c r="F328" s="180"/>
      <c r="G328" s="180"/>
      <c r="H328" s="180"/>
      <c r="I328" s="180"/>
      <c r="J328" s="208"/>
    </row>
    <row r="329" spans="1:10" ht="23.4" x14ac:dyDescent="0.6">
      <c r="A329" s="180"/>
      <c r="B329" s="180"/>
      <c r="C329" s="180"/>
      <c r="D329" s="180"/>
      <c r="E329" s="180"/>
      <c r="F329" s="180"/>
      <c r="G329" s="180"/>
      <c r="H329" s="180"/>
      <c r="I329" s="180"/>
      <c r="J329" s="208"/>
    </row>
    <row r="330" spans="1:10" ht="23.4" x14ac:dyDescent="0.6">
      <c r="A330" s="180"/>
      <c r="B330" s="180"/>
      <c r="C330" s="180"/>
      <c r="D330" s="180"/>
      <c r="E330" s="180"/>
      <c r="F330" s="180"/>
      <c r="G330" s="180"/>
      <c r="H330" s="180"/>
      <c r="I330" s="180"/>
      <c r="J330" s="208"/>
    </row>
    <row r="331" spans="1:10" ht="23.4" x14ac:dyDescent="0.6">
      <c r="A331" s="180"/>
      <c r="B331" s="180"/>
      <c r="C331" s="180"/>
      <c r="D331" s="180"/>
      <c r="E331" s="180"/>
      <c r="F331" s="180"/>
      <c r="G331" s="180"/>
      <c r="H331" s="180"/>
      <c r="I331" s="180"/>
      <c r="J331" s="208"/>
    </row>
    <row r="332" spans="1:10" ht="23.4" x14ac:dyDescent="0.6">
      <c r="A332" s="180"/>
      <c r="B332" s="180"/>
      <c r="C332" s="180"/>
      <c r="D332" s="180"/>
      <c r="E332" s="180"/>
      <c r="F332" s="180"/>
      <c r="G332" s="180"/>
      <c r="H332" s="180"/>
      <c r="I332" s="180"/>
      <c r="J332" s="208"/>
    </row>
    <row r="333" spans="1:10" ht="23.4" x14ac:dyDescent="0.6">
      <c r="A333" s="180"/>
      <c r="B333" s="180"/>
      <c r="C333" s="180"/>
      <c r="D333" s="180"/>
      <c r="E333" s="180"/>
      <c r="F333" s="180"/>
      <c r="G333" s="180"/>
      <c r="H333" s="180"/>
      <c r="I333" s="180"/>
      <c r="J333" s="208"/>
    </row>
    <row r="334" spans="1:10" ht="23.4" x14ac:dyDescent="0.6">
      <c r="A334" s="180"/>
      <c r="B334" s="180"/>
      <c r="C334" s="180"/>
      <c r="D334" s="180"/>
      <c r="E334" s="180"/>
      <c r="F334" s="180"/>
      <c r="G334" s="180"/>
      <c r="H334" s="180"/>
      <c r="I334" s="180"/>
      <c r="J334" s="208"/>
    </row>
    <row r="335" spans="1:10" ht="23.4" x14ac:dyDescent="0.6">
      <c r="A335" s="180"/>
      <c r="B335" s="180"/>
      <c r="C335" s="180"/>
      <c r="D335" s="180"/>
      <c r="E335" s="180"/>
      <c r="F335" s="180"/>
      <c r="G335" s="180"/>
      <c r="H335" s="180"/>
      <c r="I335" s="180"/>
      <c r="J335" s="208"/>
    </row>
    <row r="336" spans="1:10" ht="23.4" x14ac:dyDescent="0.6">
      <c r="A336" s="180"/>
      <c r="B336" s="180"/>
      <c r="C336" s="180"/>
      <c r="D336" s="180"/>
      <c r="E336" s="180"/>
      <c r="F336" s="180"/>
      <c r="G336" s="180"/>
      <c r="H336" s="180"/>
      <c r="I336" s="180"/>
      <c r="J336" s="208"/>
    </row>
    <row r="337" spans="1:10" ht="23.4" x14ac:dyDescent="0.6">
      <c r="A337" s="180"/>
      <c r="B337" s="180"/>
      <c r="C337" s="180"/>
      <c r="D337" s="180"/>
      <c r="E337" s="180"/>
      <c r="F337" s="180"/>
      <c r="G337" s="180"/>
      <c r="H337" s="180"/>
      <c r="I337" s="180"/>
      <c r="J337" s="208"/>
    </row>
    <row r="338" spans="1:10" ht="23.4" x14ac:dyDescent="0.6">
      <c r="A338" s="180"/>
      <c r="B338" s="180"/>
      <c r="C338" s="180"/>
      <c r="D338" s="180"/>
      <c r="E338" s="180"/>
      <c r="F338" s="180"/>
      <c r="G338" s="180"/>
      <c r="H338" s="180"/>
      <c r="I338" s="180"/>
      <c r="J338" s="208"/>
    </row>
    <row r="339" spans="1:10" ht="23.4" x14ac:dyDescent="0.6">
      <c r="A339" s="180"/>
      <c r="B339" s="180"/>
      <c r="C339" s="180"/>
      <c r="D339" s="180"/>
      <c r="E339" s="180"/>
      <c r="F339" s="180"/>
      <c r="G339" s="180"/>
      <c r="H339" s="180"/>
      <c r="I339" s="180"/>
      <c r="J339" s="208"/>
    </row>
    <row r="340" spans="1:10" ht="23.4" x14ac:dyDescent="0.6">
      <c r="A340" s="180"/>
      <c r="B340" s="180"/>
      <c r="C340" s="180"/>
      <c r="D340" s="180"/>
      <c r="E340" s="180"/>
      <c r="F340" s="180"/>
      <c r="G340" s="180"/>
      <c r="H340" s="180"/>
      <c r="I340" s="180"/>
      <c r="J340" s="208"/>
    </row>
    <row r="341" spans="1:10" ht="23.4" x14ac:dyDescent="0.6">
      <c r="A341" s="180"/>
      <c r="B341" s="180"/>
      <c r="C341" s="180"/>
      <c r="D341" s="180"/>
      <c r="E341" s="180"/>
      <c r="F341" s="180"/>
      <c r="G341" s="180"/>
      <c r="H341" s="180"/>
      <c r="I341" s="180"/>
      <c r="J341" s="208"/>
    </row>
    <row r="342" spans="1:10" ht="23.4" x14ac:dyDescent="0.6">
      <c r="A342" s="180"/>
      <c r="B342" s="180"/>
      <c r="C342" s="180"/>
      <c r="D342" s="180"/>
      <c r="E342" s="180"/>
      <c r="F342" s="180"/>
      <c r="G342" s="180"/>
      <c r="H342" s="180"/>
      <c r="I342" s="180"/>
      <c r="J342" s="208"/>
    </row>
    <row r="343" spans="1:10" ht="23.4" x14ac:dyDescent="0.6">
      <c r="A343" s="180"/>
      <c r="B343" s="180"/>
      <c r="C343" s="180"/>
      <c r="D343" s="180"/>
      <c r="E343" s="180"/>
      <c r="F343" s="180"/>
      <c r="G343" s="180"/>
      <c r="H343" s="180"/>
      <c r="I343" s="180"/>
      <c r="J343" s="208"/>
    </row>
    <row r="344" spans="1:10" ht="23.4" x14ac:dyDescent="0.6">
      <c r="A344" s="180"/>
      <c r="B344" s="180"/>
      <c r="C344" s="180"/>
      <c r="D344" s="180"/>
      <c r="E344" s="180"/>
      <c r="F344" s="180"/>
      <c r="G344" s="180"/>
      <c r="H344" s="180"/>
      <c r="I344" s="180"/>
      <c r="J344" s="208"/>
    </row>
    <row r="345" spans="1:10" ht="23.4" x14ac:dyDescent="0.6">
      <c r="A345" s="180"/>
      <c r="B345" s="180"/>
      <c r="C345" s="180"/>
      <c r="D345" s="180"/>
      <c r="E345" s="180"/>
      <c r="F345" s="180"/>
      <c r="G345" s="180"/>
      <c r="H345" s="180"/>
      <c r="I345" s="180"/>
      <c r="J345" s="208"/>
    </row>
    <row r="346" spans="1:10" ht="23.4" x14ac:dyDescent="0.6">
      <c r="A346" s="180"/>
      <c r="B346" s="180"/>
      <c r="C346" s="180"/>
      <c r="D346" s="180"/>
      <c r="E346" s="180"/>
      <c r="F346" s="180"/>
      <c r="G346" s="180"/>
      <c r="H346" s="180"/>
      <c r="I346" s="180"/>
      <c r="J346" s="208"/>
    </row>
    <row r="347" spans="1:10" ht="23.4" x14ac:dyDescent="0.6">
      <c r="A347" s="180"/>
      <c r="B347" s="180"/>
      <c r="C347" s="180"/>
      <c r="D347" s="180"/>
      <c r="E347" s="180"/>
      <c r="F347" s="180"/>
      <c r="G347" s="180"/>
      <c r="H347" s="180"/>
      <c r="I347" s="180"/>
      <c r="J347" s="208"/>
    </row>
    <row r="348" spans="1:10" ht="23.4" x14ac:dyDescent="0.6">
      <c r="A348" s="180"/>
      <c r="B348" s="180"/>
      <c r="C348" s="180"/>
      <c r="D348" s="180"/>
      <c r="E348" s="180"/>
      <c r="F348" s="180"/>
      <c r="G348" s="180"/>
      <c r="H348" s="180"/>
      <c r="I348" s="180"/>
      <c r="J348" s="208"/>
    </row>
    <row r="349" spans="1:10" ht="23.4" x14ac:dyDescent="0.6">
      <c r="A349" s="180"/>
      <c r="B349" s="180"/>
      <c r="C349" s="180"/>
      <c r="D349" s="180"/>
      <c r="E349" s="180"/>
      <c r="F349" s="180"/>
      <c r="G349" s="180"/>
      <c r="H349" s="180"/>
      <c r="I349" s="180"/>
      <c r="J349" s="208"/>
    </row>
    <row r="350" spans="1:10" ht="23.4" x14ac:dyDescent="0.6">
      <c r="A350" s="180"/>
      <c r="B350" s="180"/>
      <c r="C350" s="180"/>
      <c r="D350" s="180"/>
      <c r="E350" s="180"/>
      <c r="F350" s="180"/>
      <c r="G350" s="180"/>
      <c r="H350" s="180"/>
      <c r="I350" s="180"/>
      <c r="J350" s="208"/>
    </row>
    <row r="351" spans="1:10" ht="23.4" x14ac:dyDescent="0.6">
      <c r="A351" s="180"/>
      <c r="B351" s="180"/>
      <c r="C351" s="180"/>
      <c r="D351" s="180"/>
      <c r="E351" s="180"/>
      <c r="F351" s="180"/>
      <c r="G351" s="180"/>
      <c r="H351" s="180"/>
      <c r="I351" s="180"/>
      <c r="J351" s="208"/>
    </row>
    <row r="352" spans="1:10" ht="23.4" x14ac:dyDescent="0.6">
      <c r="A352" s="180"/>
      <c r="B352" s="180"/>
      <c r="C352" s="180"/>
      <c r="D352" s="180"/>
      <c r="E352" s="180"/>
      <c r="F352" s="180"/>
      <c r="G352" s="180"/>
      <c r="H352" s="180"/>
      <c r="I352" s="180"/>
      <c r="J352" s="208"/>
    </row>
    <row r="353" spans="1:10" ht="23.4" x14ac:dyDescent="0.6">
      <c r="A353" s="180"/>
      <c r="B353" s="180"/>
      <c r="C353" s="180"/>
      <c r="D353" s="180"/>
      <c r="E353" s="180"/>
      <c r="F353" s="180"/>
      <c r="G353" s="180"/>
      <c r="H353" s="180"/>
      <c r="I353" s="180"/>
      <c r="J353" s="208"/>
    </row>
    <row r="354" spans="1:10" ht="23.4" x14ac:dyDescent="0.6">
      <c r="A354" s="180"/>
      <c r="B354" s="180"/>
      <c r="C354" s="180"/>
      <c r="D354" s="180"/>
      <c r="E354" s="180"/>
      <c r="F354" s="180"/>
      <c r="G354" s="180"/>
      <c r="H354" s="180"/>
      <c r="I354" s="180"/>
      <c r="J354" s="208"/>
    </row>
    <row r="355" spans="1:10" ht="23.4" x14ac:dyDescent="0.6">
      <c r="A355" s="180"/>
      <c r="B355" s="180"/>
      <c r="C355" s="180"/>
      <c r="D355" s="180"/>
      <c r="E355" s="180"/>
      <c r="F355" s="180"/>
      <c r="G355" s="180"/>
      <c r="H355" s="180"/>
      <c r="I355" s="180"/>
      <c r="J355" s="208"/>
    </row>
    <row r="356" spans="1:10" ht="23.4" x14ac:dyDescent="0.6">
      <c r="A356" s="180"/>
      <c r="B356" s="180"/>
      <c r="C356" s="180"/>
      <c r="D356" s="180"/>
      <c r="E356" s="180"/>
      <c r="F356" s="180"/>
      <c r="G356" s="180"/>
      <c r="H356" s="180"/>
      <c r="I356" s="180"/>
      <c r="J356" s="208"/>
    </row>
    <row r="357" spans="1:10" ht="23.4" x14ac:dyDescent="0.6">
      <c r="A357" s="180"/>
      <c r="B357" s="180"/>
      <c r="C357" s="180"/>
      <c r="D357" s="180"/>
      <c r="E357" s="180"/>
      <c r="F357" s="180"/>
      <c r="G357" s="180"/>
      <c r="H357" s="180"/>
      <c r="I357" s="180"/>
      <c r="J357" s="208"/>
    </row>
    <row r="358" spans="1:10" ht="23.4" x14ac:dyDescent="0.6">
      <c r="A358" s="180"/>
      <c r="B358" s="180"/>
      <c r="C358" s="180"/>
      <c r="D358" s="180"/>
      <c r="E358" s="180"/>
      <c r="F358" s="180"/>
      <c r="G358" s="180"/>
      <c r="H358" s="180"/>
      <c r="I358" s="180"/>
      <c r="J358" s="208"/>
    </row>
    <row r="359" spans="1:10" ht="23.4" x14ac:dyDescent="0.6">
      <c r="A359" s="180"/>
      <c r="B359" s="180"/>
      <c r="C359" s="180"/>
      <c r="D359" s="180"/>
      <c r="E359" s="180"/>
      <c r="F359" s="180"/>
      <c r="G359" s="180"/>
      <c r="H359" s="180"/>
      <c r="I359" s="180"/>
      <c r="J359" s="208"/>
    </row>
    <row r="360" spans="1:10" ht="23.4" x14ac:dyDescent="0.6">
      <c r="A360" s="180"/>
      <c r="B360" s="180"/>
      <c r="C360" s="180"/>
      <c r="D360" s="180"/>
      <c r="E360" s="180"/>
      <c r="F360" s="180"/>
      <c r="G360" s="180"/>
      <c r="H360" s="180"/>
      <c r="I360" s="180"/>
      <c r="J360" s="208"/>
    </row>
    <row r="361" spans="1:10" ht="23.4" x14ac:dyDescent="0.6">
      <c r="A361" s="180"/>
      <c r="B361" s="180"/>
      <c r="C361" s="180"/>
      <c r="D361" s="180"/>
      <c r="E361" s="180"/>
      <c r="F361" s="180"/>
      <c r="G361" s="180"/>
      <c r="H361" s="180"/>
      <c r="I361" s="180"/>
      <c r="J361" s="208"/>
    </row>
    <row r="362" spans="1:10" ht="23.4" x14ac:dyDescent="0.6">
      <c r="A362" s="180"/>
      <c r="B362" s="180"/>
      <c r="C362" s="180"/>
      <c r="D362" s="180"/>
      <c r="E362" s="180"/>
      <c r="F362" s="180"/>
      <c r="G362" s="180"/>
      <c r="H362" s="180"/>
      <c r="I362" s="180"/>
      <c r="J362" s="208"/>
    </row>
    <row r="363" spans="1:10" ht="23.4" x14ac:dyDescent="0.6">
      <c r="A363" s="180"/>
      <c r="B363" s="180"/>
      <c r="C363" s="180"/>
      <c r="D363" s="180"/>
      <c r="E363" s="180"/>
      <c r="F363" s="180"/>
      <c r="G363" s="180"/>
      <c r="H363" s="180"/>
      <c r="I363" s="180"/>
      <c r="J363" s="208"/>
    </row>
    <row r="364" spans="1:10" ht="23.4" x14ac:dyDescent="0.6">
      <c r="A364" s="180"/>
      <c r="B364" s="180"/>
      <c r="C364" s="180"/>
      <c r="D364" s="180"/>
      <c r="E364" s="180"/>
      <c r="F364" s="180"/>
      <c r="G364" s="180"/>
      <c r="H364" s="180"/>
      <c r="I364" s="180"/>
      <c r="J364" s="208"/>
    </row>
    <row r="365" spans="1:10" ht="23.4" x14ac:dyDescent="0.6">
      <c r="A365" s="180"/>
      <c r="B365" s="180"/>
      <c r="C365" s="180"/>
      <c r="D365" s="180"/>
      <c r="E365" s="180"/>
      <c r="F365" s="180"/>
      <c r="G365" s="180"/>
      <c r="H365" s="180"/>
      <c r="I365" s="180"/>
      <c r="J365" s="208"/>
    </row>
    <row r="366" spans="1:10" ht="23.4" x14ac:dyDescent="0.6">
      <c r="A366" s="180"/>
      <c r="B366" s="180"/>
      <c r="C366" s="180"/>
      <c r="D366" s="180"/>
      <c r="E366" s="180"/>
      <c r="F366" s="180"/>
      <c r="G366" s="180"/>
      <c r="H366" s="180"/>
      <c r="I366" s="180"/>
      <c r="J366" s="208"/>
    </row>
    <row r="367" spans="1:10" ht="23.4" x14ac:dyDescent="0.6">
      <c r="A367" s="180"/>
      <c r="B367" s="180"/>
      <c r="C367" s="180"/>
      <c r="D367" s="180"/>
      <c r="E367" s="180"/>
      <c r="F367" s="180"/>
      <c r="G367" s="180"/>
      <c r="H367" s="180"/>
      <c r="I367" s="180"/>
      <c r="J367" s="208"/>
    </row>
    <row r="368" spans="1:10" ht="23.4" x14ac:dyDescent="0.6">
      <c r="A368" s="180"/>
      <c r="B368" s="180"/>
      <c r="C368" s="180"/>
      <c r="D368" s="180"/>
      <c r="E368" s="180"/>
      <c r="F368" s="180"/>
      <c r="G368" s="180"/>
      <c r="H368" s="180"/>
      <c r="I368" s="180"/>
      <c r="J368" s="208"/>
    </row>
    <row r="369" spans="1:10" ht="23.4" x14ac:dyDescent="0.6">
      <c r="A369" s="180"/>
      <c r="B369" s="180"/>
      <c r="C369" s="180"/>
      <c r="D369" s="180"/>
      <c r="E369" s="180"/>
      <c r="F369" s="180"/>
      <c r="G369" s="180"/>
      <c r="H369" s="180"/>
      <c r="I369" s="180"/>
      <c r="J369" s="208"/>
    </row>
    <row r="370" spans="1:10" ht="23.4" x14ac:dyDescent="0.6">
      <c r="A370" s="180"/>
      <c r="B370" s="180"/>
      <c r="C370" s="180"/>
      <c r="D370" s="180"/>
      <c r="E370" s="180"/>
      <c r="F370" s="180"/>
      <c r="G370" s="180"/>
      <c r="H370" s="180"/>
      <c r="I370" s="180"/>
      <c r="J370" s="208"/>
    </row>
    <row r="371" spans="1:10" ht="23.4" x14ac:dyDescent="0.6">
      <c r="A371" s="180"/>
      <c r="B371" s="180"/>
      <c r="C371" s="180"/>
      <c r="D371" s="180"/>
      <c r="E371" s="180"/>
      <c r="F371" s="180"/>
      <c r="G371" s="180"/>
      <c r="H371" s="180"/>
      <c r="I371" s="180"/>
      <c r="J371" s="208"/>
    </row>
    <row r="372" spans="1:10" ht="23.4" x14ac:dyDescent="0.6">
      <c r="A372" s="180"/>
      <c r="B372" s="180"/>
      <c r="C372" s="180"/>
      <c r="D372" s="180"/>
      <c r="E372" s="180"/>
      <c r="F372" s="180"/>
      <c r="G372" s="180"/>
      <c r="H372" s="180"/>
      <c r="I372" s="180"/>
      <c r="J372" s="208"/>
    </row>
    <row r="373" spans="1:10" ht="23.4" x14ac:dyDescent="0.6">
      <c r="A373" s="180"/>
      <c r="B373" s="180"/>
      <c r="C373" s="180"/>
      <c r="D373" s="180"/>
      <c r="E373" s="180"/>
      <c r="F373" s="180"/>
      <c r="G373" s="180"/>
      <c r="H373" s="180"/>
      <c r="I373" s="180"/>
      <c r="J373" s="208"/>
    </row>
    <row r="374" spans="1:10" ht="23.4" x14ac:dyDescent="0.6">
      <c r="A374" s="180"/>
      <c r="B374" s="180"/>
      <c r="C374" s="180"/>
      <c r="D374" s="180"/>
      <c r="E374" s="180"/>
      <c r="F374" s="180"/>
      <c r="G374" s="180"/>
      <c r="H374" s="180"/>
      <c r="I374" s="180"/>
      <c r="J374" s="208"/>
    </row>
    <row r="375" spans="1:10" ht="23.4" x14ac:dyDescent="0.6">
      <c r="A375" s="180"/>
      <c r="B375" s="180"/>
      <c r="C375" s="180"/>
      <c r="D375" s="180"/>
      <c r="E375" s="180"/>
      <c r="F375" s="180"/>
      <c r="G375" s="180"/>
      <c r="H375" s="180"/>
      <c r="I375" s="180"/>
      <c r="J375" s="208"/>
    </row>
    <row r="376" spans="1:10" ht="23.4" x14ac:dyDescent="0.6">
      <c r="A376" s="180"/>
      <c r="B376" s="180"/>
      <c r="C376" s="180"/>
      <c r="D376" s="180"/>
      <c r="E376" s="180"/>
      <c r="F376" s="180"/>
      <c r="G376" s="180"/>
      <c r="H376" s="180"/>
      <c r="I376" s="180"/>
      <c r="J376" s="208"/>
    </row>
    <row r="377" spans="1:10" ht="23.4" x14ac:dyDescent="0.6">
      <c r="A377" s="180"/>
      <c r="B377" s="180"/>
      <c r="C377" s="180"/>
      <c r="D377" s="180"/>
      <c r="E377" s="180"/>
      <c r="F377" s="180"/>
      <c r="G377" s="180"/>
      <c r="H377" s="180"/>
      <c r="I377" s="180"/>
      <c r="J377" s="208"/>
    </row>
    <row r="378" spans="1:10" ht="23.4" x14ac:dyDescent="0.6">
      <c r="A378" s="180"/>
      <c r="B378" s="180"/>
      <c r="C378" s="180"/>
      <c r="D378" s="180"/>
      <c r="E378" s="180"/>
      <c r="F378" s="180"/>
      <c r="G378" s="180"/>
      <c r="H378" s="180"/>
      <c r="I378" s="180"/>
      <c r="J378" s="208"/>
    </row>
    <row r="379" spans="1:10" ht="23.4" x14ac:dyDescent="0.6">
      <c r="A379" s="180"/>
      <c r="B379" s="180"/>
      <c r="C379" s="180"/>
      <c r="D379" s="180"/>
      <c r="E379" s="180"/>
      <c r="F379" s="180"/>
      <c r="G379" s="180"/>
      <c r="H379" s="180"/>
      <c r="I379" s="180"/>
      <c r="J379" s="208"/>
    </row>
    <row r="380" spans="1:10" ht="23.4" x14ac:dyDescent="0.6">
      <c r="A380" s="180"/>
      <c r="B380" s="180"/>
      <c r="C380" s="180"/>
      <c r="D380" s="180"/>
      <c r="E380" s="180"/>
      <c r="F380" s="180"/>
      <c r="G380" s="180"/>
      <c r="H380" s="180"/>
      <c r="I380" s="180"/>
      <c r="J380" s="208"/>
    </row>
    <row r="381" spans="1:10" ht="23.4" x14ac:dyDescent="0.6">
      <c r="A381" s="180"/>
      <c r="B381" s="180"/>
      <c r="C381" s="180"/>
      <c r="D381" s="180"/>
      <c r="E381" s="180"/>
      <c r="F381" s="180"/>
      <c r="G381" s="180"/>
      <c r="H381" s="180"/>
      <c r="I381" s="180"/>
      <c r="J381" s="208"/>
    </row>
    <row r="382" spans="1:10" ht="23.4" x14ac:dyDescent="0.6">
      <c r="A382" s="180"/>
      <c r="B382" s="180"/>
      <c r="C382" s="180"/>
      <c r="D382" s="180"/>
      <c r="E382" s="180"/>
      <c r="F382" s="180"/>
      <c r="G382" s="180"/>
      <c r="H382" s="180"/>
      <c r="I382" s="180"/>
      <c r="J382" s="208"/>
    </row>
    <row r="383" spans="1:10" ht="23.4" x14ac:dyDescent="0.6">
      <c r="A383" s="180"/>
      <c r="B383" s="180"/>
      <c r="C383" s="180"/>
      <c r="D383" s="180"/>
      <c r="E383" s="180"/>
      <c r="F383" s="180"/>
      <c r="G383" s="180"/>
      <c r="H383" s="180"/>
      <c r="I383" s="180"/>
      <c r="J383" s="208"/>
    </row>
    <row r="384" spans="1:10" ht="23.4" x14ac:dyDescent="0.6">
      <c r="A384" s="180"/>
      <c r="B384" s="180"/>
      <c r="C384" s="180"/>
      <c r="D384" s="180"/>
      <c r="E384" s="180"/>
      <c r="F384" s="180"/>
      <c r="G384" s="180"/>
      <c r="H384" s="180"/>
      <c r="I384" s="180"/>
      <c r="J384" s="208"/>
    </row>
    <row r="385" spans="1:10" ht="23.4" x14ac:dyDescent="0.6">
      <c r="A385" s="180"/>
      <c r="B385" s="180"/>
      <c r="C385" s="180"/>
      <c r="D385" s="180"/>
      <c r="E385" s="180"/>
      <c r="F385" s="180"/>
      <c r="G385" s="180"/>
      <c r="H385" s="180"/>
      <c r="I385" s="180"/>
      <c r="J385" s="208"/>
    </row>
    <row r="386" spans="1:10" ht="23.4" x14ac:dyDescent="0.6">
      <c r="A386" s="180"/>
      <c r="B386" s="180"/>
      <c r="C386" s="180"/>
      <c r="D386" s="180"/>
      <c r="E386" s="180"/>
      <c r="F386" s="180"/>
      <c r="G386" s="180"/>
      <c r="H386" s="180"/>
      <c r="I386" s="180"/>
      <c r="J386" s="208"/>
    </row>
    <row r="387" spans="1:10" ht="23.4" x14ac:dyDescent="0.6">
      <c r="A387" s="180"/>
      <c r="B387" s="180"/>
      <c r="C387" s="180"/>
      <c r="D387" s="180"/>
      <c r="E387" s="180"/>
      <c r="F387" s="180"/>
      <c r="G387" s="180"/>
      <c r="H387" s="180"/>
      <c r="I387" s="180"/>
      <c r="J387" s="208"/>
    </row>
    <row r="388" spans="1:10" ht="23.4" x14ac:dyDescent="0.6">
      <c r="A388" s="180"/>
      <c r="B388" s="180"/>
      <c r="C388" s="180"/>
      <c r="D388" s="180"/>
      <c r="E388" s="180"/>
      <c r="F388" s="180"/>
      <c r="G388" s="180"/>
      <c r="H388" s="180"/>
      <c r="I388" s="180"/>
      <c r="J388" s="208"/>
    </row>
    <row r="389" spans="1:10" ht="23.4" x14ac:dyDescent="0.6">
      <c r="A389" s="180"/>
      <c r="B389" s="180"/>
      <c r="C389" s="180"/>
      <c r="D389" s="180"/>
      <c r="E389" s="180"/>
      <c r="F389" s="180"/>
      <c r="G389" s="180"/>
      <c r="H389" s="180"/>
      <c r="I389" s="180"/>
      <c r="J389" s="208"/>
    </row>
    <row r="390" spans="1:10" ht="23.4" x14ac:dyDescent="0.6">
      <c r="A390" s="180"/>
      <c r="B390" s="180"/>
      <c r="C390" s="180"/>
      <c r="D390" s="180"/>
      <c r="E390" s="180"/>
      <c r="F390" s="180"/>
      <c r="G390" s="180"/>
      <c r="H390" s="180"/>
      <c r="I390" s="180"/>
      <c r="J390" s="208"/>
    </row>
    <row r="391" spans="1:10" ht="23.4" x14ac:dyDescent="0.6">
      <c r="A391" s="180"/>
      <c r="B391" s="180"/>
      <c r="C391" s="180"/>
      <c r="D391" s="180"/>
      <c r="E391" s="180"/>
      <c r="F391" s="180"/>
      <c r="G391" s="180"/>
      <c r="H391" s="180"/>
      <c r="I391" s="180"/>
      <c r="J391" s="208"/>
    </row>
    <row r="392" spans="1:10" ht="23.4" x14ac:dyDescent="0.6">
      <c r="A392" s="180"/>
      <c r="B392" s="180"/>
      <c r="C392" s="180"/>
      <c r="D392" s="180"/>
      <c r="E392" s="180"/>
      <c r="F392" s="180"/>
      <c r="G392" s="180"/>
      <c r="H392" s="180"/>
      <c r="I392" s="180"/>
      <c r="J392" s="208"/>
    </row>
    <row r="393" spans="1:10" ht="23.4" x14ac:dyDescent="0.6">
      <c r="A393" s="180"/>
      <c r="B393" s="180"/>
      <c r="C393" s="180"/>
      <c r="D393" s="180"/>
      <c r="E393" s="180"/>
      <c r="F393" s="180"/>
      <c r="G393" s="180"/>
      <c r="H393" s="180"/>
      <c r="I393" s="180"/>
      <c r="J393" s="208"/>
    </row>
    <row r="394" spans="1:10" ht="23.4" x14ac:dyDescent="0.6">
      <c r="A394" s="180"/>
      <c r="B394" s="180"/>
      <c r="C394" s="180"/>
      <c r="D394" s="180"/>
      <c r="E394" s="180"/>
      <c r="F394" s="180"/>
      <c r="G394" s="180"/>
      <c r="H394" s="180"/>
      <c r="I394" s="180"/>
      <c r="J394" s="208"/>
    </row>
    <row r="395" spans="1:10" ht="23.4" x14ac:dyDescent="0.6">
      <c r="A395" s="180"/>
      <c r="B395" s="180"/>
      <c r="C395" s="180"/>
      <c r="D395" s="180"/>
      <c r="E395" s="180"/>
      <c r="F395" s="180"/>
      <c r="G395" s="180"/>
      <c r="H395" s="180"/>
      <c r="I395" s="180"/>
      <c r="J395" s="208"/>
    </row>
    <row r="396" spans="1:10" ht="23.4" x14ac:dyDescent="0.6">
      <c r="A396" s="180"/>
      <c r="B396" s="180"/>
      <c r="C396" s="180"/>
      <c r="D396" s="180"/>
      <c r="E396" s="180"/>
      <c r="F396" s="180"/>
      <c r="G396" s="180"/>
      <c r="H396" s="180"/>
      <c r="I396" s="180"/>
      <c r="J396" s="208"/>
    </row>
    <row r="397" spans="1:10" ht="23.4" x14ac:dyDescent="0.6">
      <c r="A397" s="180"/>
      <c r="B397" s="180"/>
      <c r="C397" s="180"/>
      <c r="D397" s="180"/>
      <c r="E397" s="180"/>
      <c r="F397" s="180"/>
      <c r="G397" s="180"/>
      <c r="H397" s="180"/>
      <c r="I397" s="180"/>
      <c r="J397" s="208"/>
    </row>
    <row r="398" spans="1:10" ht="23.4" x14ac:dyDescent="0.6">
      <c r="A398" s="180"/>
      <c r="B398" s="180"/>
      <c r="C398" s="180"/>
      <c r="D398" s="180"/>
      <c r="E398" s="180"/>
      <c r="F398" s="180"/>
      <c r="G398" s="180"/>
      <c r="H398" s="180"/>
      <c r="I398" s="180"/>
      <c r="J398" s="208"/>
    </row>
    <row r="399" spans="1:10" ht="23.4" x14ac:dyDescent="0.6">
      <c r="A399" s="180"/>
      <c r="B399" s="180"/>
      <c r="C399" s="180"/>
      <c r="D399" s="180"/>
      <c r="E399" s="180"/>
      <c r="F399" s="180"/>
      <c r="G399" s="180"/>
      <c r="H399" s="180"/>
      <c r="I399" s="180"/>
      <c r="J399" s="208"/>
    </row>
    <row r="400" spans="1:10" ht="23.4" x14ac:dyDescent="0.6">
      <c r="A400" s="180"/>
      <c r="B400" s="180"/>
      <c r="C400" s="180"/>
      <c r="D400" s="180"/>
      <c r="E400" s="180"/>
      <c r="F400" s="180"/>
      <c r="G400" s="180"/>
      <c r="H400" s="180"/>
      <c r="I400" s="180"/>
      <c r="J400" s="208"/>
    </row>
    <row r="401" spans="1:10" ht="23.4" x14ac:dyDescent="0.6">
      <c r="A401" s="180"/>
      <c r="B401" s="180"/>
      <c r="C401" s="180"/>
      <c r="D401" s="180"/>
      <c r="E401" s="180"/>
      <c r="F401" s="180"/>
      <c r="G401" s="180"/>
      <c r="H401" s="180"/>
      <c r="I401" s="180"/>
      <c r="J401" s="208"/>
    </row>
    <row r="402" spans="1:10" ht="23.4" x14ac:dyDescent="0.6">
      <c r="A402" s="180"/>
      <c r="B402" s="180"/>
      <c r="C402" s="180"/>
      <c r="D402" s="180"/>
      <c r="E402" s="180"/>
      <c r="F402" s="180"/>
      <c r="G402" s="180"/>
      <c r="H402" s="180"/>
      <c r="I402" s="180"/>
      <c r="J402" s="208"/>
    </row>
    <row r="403" spans="1:10" ht="23.4" x14ac:dyDescent="0.6">
      <c r="A403" s="180"/>
      <c r="B403" s="180"/>
      <c r="C403" s="180"/>
      <c r="D403" s="180"/>
      <c r="E403" s="180"/>
      <c r="F403" s="180"/>
      <c r="G403" s="180"/>
      <c r="H403" s="180"/>
      <c r="I403" s="180"/>
      <c r="J403" s="208"/>
    </row>
    <row r="404" spans="1:10" ht="23.4" x14ac:dyDescent="0.6">
      <c r="A404" s="180"/>
      <c r="B404" s="180"/>
      <c r="C404" s="180"/>
      <c r="D404" s="180"/>
      <c r="E404" s="180"/>
      <c r="F404" s="180"/>
      <c r="G404" s="180"/>
      <c r="H404" s="180"/>
      <c r="I404" s="180"/>
      <c r="J404" s="208"/>
    </row>
    <row r="405" spans="1:10" ht="23.4" x14ac:dyDescent="0.6">
      <c r="A405" s="180"/>
      <c r="B405" s="180"/>
      <c r="C405" s="180"/>
      <c r="D405" s="180"/>
      <c r="E405" s="180"/>
      <c r="F405" s="180"/>
      <c r="G405" s="180"/>
      <c r="H405" s="180"/>
      <c r="I405" s="180"/>
      <c r="J405" s="208"/>
    </row>
    <row r="406" spans="1:10" ht="23.4" x14ac:dyDescent="0.6">
      <c r="A406" s="180"/>
      <c r="B406" s="180"/>
      <c r="C406" s="180"/>
      <c r="D406" s="180"/>
      <c r="E406" s="180"/>
      <c r="F406" s="180"/>
      <c r="G406" s="180"/>
      <c r="H406" s="180"/>
      <c r="I406" s="180"/>
      <c r="J406" s="208"/>
    </row>
    <row r="407" spans="1:10" ht="23.4" x14ac:dyDescent="0.6">
      <c r="A407" s="180"/>
      <c r="B407" s="180"/>
      <c r="C407" s="180"/>
      <c r="D407" s="180"/>
      <c r="E407" s="180"/>
      <c r="F407" s="180"/>
      <c r="G407" s="180"/>
      <c r="H407" s="180"/>
      <c r="I407" s="180"/>
      <c r="J407" s="208"/>
    </row>
    <row r="408" spans="1:10" ht="23.4" x14ac:dyDescent="0.6">
      <c r="A408" s="180"/>
      <c r="B408" s="180"/>
      <c r="C408" s="180"/>
      <c r="D408" s="180"/>
      <c r="E408" s="180"/>
      <c r="F408" s="180"/>
      <c r="G408" s="180"/>
      <c r="H408" s="180"/>
      <c r="I408" s="180"/>
      <c r="J408" s="208"/>
    </row>
    <row r="409" spans="1:10" ht="23.4" x14ac:dyDescent="0.6">
      <c r="A409" s="180"/>
      <c r="B409" s="180"/>
      <c r="C409" s="180"/>
      <c r="D409" s="180"/>
      <c r="E409" s="180"/>
      <c r="F409" s="180"/>
      <c r="G409" s="180"/>
      <c r="H409" s="180"/>
      <c r="I409" s="180"/>
      <c r="J409" s="208"/>
    </row>
    <row r="410" spans="1:10" ht="23.4" x14ac:dyDescent="0.6">
      <c r="A410" s="180"/>
      <c r="B410" s="180"/>
      <c r="C410" s="180"/>
      <c r="D410" s="180"/>
      <c r="E410" s="180"/>
      <c r="F410" s="180"/>
      <c r="G410" s="180"/>
      <c r="H410" s="180"/>
      <c r="I410" s="180"/>
      <c r="J410" s="208"/>
    </row>
    <row r="411" spans="1:10" ht="23.4" x14ac:dyDescent="0.6">
      <c r="A411" s="180"/>
      <c r="B411" s="180"/>
      <c r="C411" s="180"/>
      <c r="D411" s="180"/>
      <c r="E411" s="180"/>
      <c r="F411" s="180"/>
      <c r="G411" s="180"/>
      <c r="H411" s="180"/>
      <c r="I411" s="180"/>
      <c r="J411" s="208"/>
    </row>
    <row r="412" spans="1:10" ht="23.4" x14ac:dyDescent="0.6">
      <c r="A412" s="180"/>
      <c r="B412" s="180"/>
      <c r="C412" s="180"/>
      <c r="D412" s="180"/>
      <c r="E412" s="180"/>
      <c r="F412" s="180"/>
      <c r="G412" s="180"/>
      <c r="H412" s="180"/>
      <c r="I412" s="180"/>
      <c r="J412" s="208"/>
    </row>
    <row r="413" spans="1:10" ht="23.4" x14ac:dyDescent="0.6">
      <c r="A413" s="180"/>
      <c r="B413" s="180"/>
      <c r="C413" s="180"/>
      <c r="D413" s="180"/>
      <c r="E413" s="180"/>
      <c r="F413" s="180"/>
      <c r="G413" s="180"/>
      <c r="H413" s="180"/>
      <c r="I413" s="180"/>
      <c r="J413" s="208"/>
    </row>
    <row r="414" spans="1:10" ht="23.4" x14ac:dyDescent="0.6">
      <c r="A414" s="180"/>
      <c r="B414" s="180"/>
      <c r="C414" s="180"/>
      <c r="D414" s="180"/>
      <c r="E414" s="180"/>
      <c r="F414" s="180"/>
      <c r="G414" s="180"/>
      <c r="H414" s="180"/>
      <c r="I414" s="180"/>
      <c r="J414" s="208"/>
    </row>
    <row r="415" spans="1:10" ht="23.4" x14ac:dyDescent="0.6">
      <c r="A415" s="180"/>
      <c r="B415" s="180"/>
      <c r="C415" s="180"/>
      <c r="D415" s="180"/>
      <c r="E415" s="180"/>
      <c r="F415" s="180"/>
      <c r="G415" s="180"/>
      <c r="H415" s="180"/>
      <c r="I415" s="180"/>
      <c r="J415" s="208"/>
    </row>
    <row r="416" spans="1:10" ht="23.4" x14ac:dyDescent="0.6">
      <c r="A416" s="180"/>
      <c r="B416" s="180"/>
      <c r="C416" s="180"/>
      <c r="D416" s="180"/>
      <c r="E416" s="180"/>
      <c r="F416" s="180"/>
      <c r="G416" s="180"/>
      <c r="H416" s="180"/>
      <c r="I416" s="180"/>
      <c r="J416" s="208"/>
    </row>
    <row r="417" spans="1:10" ht="23.4" x14ac:dyDescent="0.6">
      <c r="A417" s="180"/>
      <c r="B417" s="180"/>
      <c r="C417" s="180"/>
      <c r="D417" s="180"/>
      <c r="E417" s="180"/>
      <c r="F417" s="180"/>
      <c r="G417" s="180"/>
      <c r="H417" s="180"/>
      <c r="I417" s="180"/>
      <c r="J417" s="208"/>
    </row>
    <row r="418" spans="1:10" ht="23.4" x14ac:dyDescent="0.6">
      <c r="A418" s="180"/>
      <c r="B418" s="180"/>
      <c r="C418" s="180"/>
      <c r="D418" s="180"/>
      <c r="E418" s="180"/>
      <c r="F418" s="180"/>
      <c r="G418" s="180"/>
      <c r="H418" s="180"/>
      <c r="I418" s="180"/>
      <c r="J418" s="208"/>
    </row>
    <row r="419" spans="1:10" ht="23.4" x14ac:dyDescent="0.6">
      <c r="A419" s="180"/>
      <c r="B419" s="180"/>
      <c r="C419" s="180"/>
      <c r="D419" s="180"/>
      <c r="E419" s="180"/>
      <c r="F419" s="180"/>
      <c r="G419" s="180"/>
      <c r="H419" s="180"/>
      <c r="I419" s="180"/>
      <c r="J419" s="208"/>
    </row>
    <row r="420" spans="1:10" ht="23.4" x14ac:dyDescent="0.6">
      <c r="A420" s="180"/>
      <c r="B420" s="180"/>
      <c r="C420" s="180"/>
      <c r="D420" s="180"/>
      <c r="E420" s="180"/>
      <c r="F420" s="180"/>
      <c r="G420" s="180"/>
      <c r="H420" s="180"/>
      <c r="I420" s="180"/>
      <c r="J420" s="208"/>
    </row>
    <row r="421" spans="1:10" ht="23.4" x14ac:dyDescent="0.6">
      <c r="A421" s="180"/>
      <c r="B421" s="180"/>
      <c r="C421" s="180"/>
      <c r="D421" s="180"/>
      <c r="E421" s="180"/>
      <c r="F421" s="180"/>
      <c r="G421" s="180"/>
      <c r="H421" s="180"/>
      <c r="I421" s="180"/>
      <c r="J421" s="208"/>
    </row>
    <row r="422" spans="1:10" ht="23.4" x14ac:dyDescent="0.6">
      <c r="A422" s="180"/>
      <c r="B422" s="180"/>
      <c r="C422" s="180"/>
      <c r="D422" s="180"/>
      <c r="E422" s="180"/>
      <c r="F422" s="180"/>
      <c r="G422" s="180"/>
      <c r="H422" s="180"/>
      <c r="I422" s="180"/>
      <c r="J422" s="208"/>
    </row>
    <row r="423" spans="1:10" ht="23.4" x14ac:dyDescent="0.6">
      <c r="A423" s="180"/>
      <c r="B423" s="180"/>
      <c r="C423" s="180"/>
      <c r="D423" s="180"/>
      <c r="E423" s="180"/>
      <c r="F423" s="180"/>
      <c r="G423" s="180"/>
      <c r="H423" s="180"/>
      <c r="I423" s="180"/>
      <c r="J423" s="208"/>
    </row>
    <row r="424" spans="1:10" ht="23.4" x14ac:dyDescent="0.6">
      <c r="A424" s="180"/>
      <c r="B424" s="180"/>
      <c r="C424" s="180"/>
      <c r="D424" s="180"/>
      <c r="E424" s="180"/>
      <c r="F424" s="180"/>
      <c r="G424" s="180"/>
      <c r="H424" s="180"/>
      <c r="I424" s="180"/>
      <c r="J424" s="208"/>
    </row>
    <row r="425" spans="1:10" ht="23.4" x14ac:dyDescent="0.6">
      <c r="A425" s="180"/>
      <c r="B425" s="180"/>
      <c r="C425" s="180"/>
      <c r="D425" s="180"/>
      <c r="E425" s="180"/>
      <c r="F425" s="180"/>
      <c r="G425" s="180"/>
      <c r="H425" s="180"/>
      <c r="I425" s="180"/>
      <c r="J425" s="208"/>
    </row>
    <row r="426" spans="1:10" ht="23.4" x14ac:dyDescent="0.6">
      <c r="A426" s="180"/>
      <c r="B426" s="180"/>
      <c r="C426" s="180"/>
      <c r="D426" s="180"/>
      <c r="E426" s="180"/>
      <c r="F426" s="180"/>
      <c r="G426" s="180"/>
      <c r="H426" s="180"/>
      <c r="I426" s="180"/>
      <c r="J426" s="208"/>
    </row>
    <row r="427" spans="1:10" ht="23.4" x14ac:dyDescent="0.6">
      <c r="A427" s="180"/>
      <c r="B427" s="180"/>
      <c r="C427" s="180"/>
      <c r="D427" s="180"/>
      <c r="E427" s="180"/>
      <c r="F427" s="180"/>
      <c r="G427" s="180"/>
      <c r="H427" s="180"/>
      <c r="I427" s="180"/>
      <c r="J427" s="208"/>
    </row>
    <row r="428" spans="1:10" ht="23.4" x14ac:dyDescent="0.6">
      <c r="A428" s="180"/>
      <c r="B428" s="180"/>
      <c r="C428" s="180"/>
      <c r="D428" s="180"/>
      <c r="E428" s="180"/>
      <c r="F428" s="180"/>
      <c r="G428" s="180"/>
      <c r="H428" s="180"/>
      <c r="I428" s="180"/>
      <c r="J428" s="208"/>
    </row>
    <row r="429" spans="1:10" ht="23.4" x14ac:dyDescent="0.6">
      <c r="A429" s="180"/>
      <c r="B429" s="180"/>
      <c r="C429" s="180"/>
      <c r="D429" s="180"/>
      <c r="E429" s="180"/>
      <c r="F429" s="180"/>
      <c r="G429" s="180"/>
      <c r="H429" s="180"/>
      <c r="I429" s="180"/>
      <c r="J429" s="208"/>
    </row>
    <row r="430" spans="1:10" ht="23.4" x14ac:dyDescent="0.6">
      <c r="A430" s="180"/>
      <c r="B430" s="180"/>
      <c r="C430" s="180"/>
      <c r="D430" s="180"/>
      <c r="E430" s="180"/>
      <c r="F430" s="180"/>
      <c r="G430" s="180"/>
      <c r="H430" s="180"/>
      <c r="I430" s="180"/>
      <c r="J430" s="208"/>
    </row>
    <row r="431" spans="1:10" ht="23.4" x14ac:dyDescent="0.6">
      <c r="A431" s="180"/>
      <c r="B431" s="180"/>
      <c r="C431" s="180"/>
      <c r="D431" s="180"/>
      <c r="E431" s="180"/>
      <c r="F431" s="180"/>
      <c r="G431" s="180"/>
      <c r="H431" s="180"/>
      <c r="I431" s="180"/>
      <c r="J431" s="208"/>
    </row>
    <row r="432" spans="1:10" ht="23.4" x14ac:dyDescent="0.6">
      <c r="A432" s="180"/>
      <c r="B432" s="180"/>
      <c r="C432" s="180"/>
      <c r="D432" s="180"/>
      <c r="E432" s="180"/>
      <c r="F432" s="180"/>
      <c r="G432" s="180"/>
      <c r="H432" s="180"/>
      <c r="I432" s="180"/>
      <c r="J432" s="208"/>
    </row>
    <row r="433" spans="1:10" ht="23.4" x14ac:dyDescent="0.6">
      <c r="A433" s="180"/>
      <c r="B433" s="180"/>
      <c r="C433" s="180"/>
      <c r="D433" s="180"/>
      <c r="E433" s="180"/>
      <c r="F433" s="180"/>
      <c r="G433" s="180"/>
      <c r="H433" s="180"/>
      <c r="I433" s="180"/>
      <c r="J433" s="208"/>
    </row>
    <row r="434" spans="1:10" ht="23.4" x14ac:dyDescent="0.6">
      <c r="A434" s="180"/>
      <c r="B434" s="180"/>
      <c r="C434" s="180"/>
      <c r="D434" s="180"/>
      <c r="E434" s="180"/>
      <c r="F434" s="180"/>
      <c r="G434" s="180"/>
      <c r="H434" s="180"/>
      <c r="I434" s="180"/>
      <c r="J434" s="208"/>
    </row>
    <row r="435" spans="1:10" ht="23.4" x14ac:dyDescent="0.6">
      <c r="A435" s="180"/>
      <c r="B435" s="180"/>
      <c r="C435" s="180"/>
      <c r="D435" s="180"/>
      <c r="E435" s="180"/>
      <c r="F435" s="180"/>
      <c r="G435" s="180"/>
      <c r="H435" s="180"/>
      <c r="I435" s="180"/>
      <c r="J435" s="208"/>
    </row>
    <row r="436" spans="1:10" ht="23.4" x14ac:dyDescent="0.6">
      <c r="A436" s="180"/>
      <c r="B436" s="180"/>
      <c r="C436" s="180"/>
      <c r="D436" s="180"/>
      <c r="E436" s="180"/>
      <c r="F436" s="180"/>
      <c r="G436" s="180"/>
      <c r="H436" s="180"/>
      <c r="I436" s="180"/>
      <c r="J436" s="208"/>
    </row>
    <row r="437" spans="1:10" ht="23.4" x14ac:dyDescent="0.6">
      <c r="A437" s="180"/>
      <c r="B437" s="180"/>
      <c r="C437" s="180"/>
      <c r="D437" s="180"/>
      <c r="E437" s="180"/>
      <c r="F437" s="180"/>
      <c r="G437" s="180"/>
      <c r="H437" s="180"/>
      <c r="I437" s="180"/>
      <c r="J437" s="208"/>
    </row>
    <row r="438" spans="1:10" ht="23.4" x14ac:dyDescent="0.6">
      <c r="A438" s="180"/>
      <c r="B438" s="180"/>
      <c r="C438" s="180"/>
      <c r="D438" s="180"/>
      <c r="E438" s="180"/>
      <c r="F438" s="180"/>
      <c r="G438" s="180"/>
      <c r="H438" s="180"/>
      <c r="I438" s="180"/>
      <c r="J438" s="208"/>
    </row>
    <row r="439" spans="1:10" ht="23.4" x14ac:dyDescent="0.6">
      <c r="A439" s="180"/>
      <c r="B439" s="180"/>
      <c r="C439" s="180"/>
      <c r="D439" s="180"/>
      <c r="E439" s="180"/>
      <c r="F439" s="180"/>
      <c r="G439" s="180"/>
      <c r="H439" s="180"/>
      <c r="I439" s="180"/>
      <c r="J439" s="208"/>
    </row>
    <row r="440" spans="1:10" ht="23.4" x14ac:dyDescent="0.6">
      <c r="A440" s="180"/>
      <c r="B440" s="180"/>
      <c r="C440" s="180"/>
      <c r="D440" s="180"/>
      <c r="E440" s="180"/>
      <c r="F440" s="180"/>
      <c r="G440" s="180"/>
      <c r="H440" s="180"/>
      <c r="I440" s="180"/>
      <c r="J440" s="208"/>
    </row>
    <row r="441" spans="1:10" ht="23.4" x14ac:dyDescent="0.6">
      <c r="A441" s="180"/>
      <c r="B441" s="180"/>
      <c r="C441" s="180"/>
      <c r="D441" s="180"/>
      <c r="E441" s="180"/>
      <c r="F441" s="180"/>
      <c r="G441" s="180"/>
      <c r="H441" s="180"/>
      <c r="I441" s="180"/>
      <c r="J441" s="208"/>
    </row>
    <row r="442" spans="1:10" ht="23.4" x14ac:dyDescent="0.6">
      <c r="A442" s="180"/>
      <c r="B442" s="180"/>
      <c r="C442" s="180"/>
      <c r="D442" s="180"/>
      <c r="E442" s="180"/>
      <c r="F442" s="180"/>
      <c r="G442" s="180"/>
      <c r="H442" s="180"/>
      <c r="I442" s="180"/>
      <c r="J442" s="208"/>
    </row>
    <row r="443" spans="1:10" ht="23.4" x14ac:dyDescent="0.6">
      <c r="A443" s="180"/>
      <c r="B443" s="180"/>
      <c r="C443" s="180"/>
      <c r="D443" s="180"/>
      <c r="E443" s="180"/>
      <c r="F443" s="180"/>
      <c r="G443" s="180"/>
      <c r="H443" s="180"/>
      <c r="I443" s="180"/>
      <c r="J443" s="208"/>
    </row>
    <row r="444" spans="1:10" ht="23.4" x14ac:dyDescent="0.6">
      <c r="A444" s="180"/>
      <c r="B444" s="180"/>
      <c r="C444" s="180"/>
      <c r="D444" s="180"/>
      <c r="E444" s="180"/>
      <c r="F444" s="180"/>
      <c r="G444" s="180"/>
      <c r="H444" s="180"/>
      <c r="I444" s="180"/>
      <c r="J444" s="208"/>
    </row>
    <row r="445" spans="1:10" ht="23.4" x14ac:dyDescent="0.6">
      <c r="A445" s="180"/>
      <c r="B445" s="180"/>
      <c r="C445" s="180"/>
      <c r="D445" s="180"/>
      <c r="E445" s="180"/>
      <c r="F445" s="180"/>
      <c r="G445" s="180"/>
      <c r="H445" s="180"/>
      <c r="I445" s="180"/>
      <c r="J445" s="208"/>
    </row>
    <row r="446" spans="1:10" ht="23.4" x14ac:dyDescent="0.6">
      <c r="A446" s="180"/>
      <c r="B446" s="180"/>
      <c r="C446" s="180"/>
      <c r="D446" s="180"/>
      <c r="E446" s="180"/>
      <c r="F446" s="180"/>
      <c r="G446" s="180"/>
      <c r="H446" s="180"/>
      <c r="I446" s="180"/>
      <c r="J446" s="208"/>
    </row>
    <row r="447" spans="1:10" ht="23.4" x14ac:dyDescent="0.6">
      <c r="A447" s="180"/>
      <c r="B447" s="180"/>
      <c r="C447" s="180"/>
      <c r="D447" s="180"/>
      <c r="E447" s="180"/>
      <c r="F447" s="180"/>
      <c r="G447" s="180"/>
      <c r="H447" s="180"/>
      <c r="I447" s="180"/>
      <c r="J447" s="208"/>
    </row>
    <row r="448" spans="1:10" ht="23.4" x14ac:dyDescent="0.6">
      <c r="A448" s="180"/>
      <c r="B448" s="180"/>
      <c r="C448" s="180"/>
      <c r="D448" s="180"/>
      <c r="E448" s="180"/>
      <c r="F448" s="180"/>
      <c r="G448" s="180"/>
      <c r="H448" s="180"/>
      <c r="I448" s="180"/>
      <c r="J448" s="208"/>
    </row>
    <row r="449" spans="1:10" ht="23.4" x14ac:dyDescent="0.6">
      <c r="A449" s="180"/>
      <c r="B449" s="180"/>
      <c r="C449" s="180"/>
      <c r="D449" s="180"/>
      <c r="E449" s="180"/>
      <c r="F449" s="180"/>
      <c r="G449" s="180"/>
      <c r="H449" s="180"/>
      <c r="I449" s="180"/>
      <c r="J449" s="208"/>
    </row>
    <row r="450" spans="1:10" ht="23.4" x14ac:dyDescent="0.6">
      <c r="A450" s="180"/>
      <c r="B450" s="180"/>
      <c r="C450" s="180"/>
      <c r="D450" s="180"/>
      <c r="E450" s="180"/>
      <c r="F450" s="180"/>
      <c r="G450" s="180"/>
      <c r="H450" s="180"/>
      <c r="I450" s="180"/>
      <c r="J450" s="208"/>
    </row>
    <row r="451" spans="1:10" ht="23.4" x14ac:dyDescent="0.6">
      <c r="A451" s="180"/>
      <c r="B451" s="180"/>
      <c r="C451" s="180"/>
      <c r="D451" s="180"/>
      <c r="E451" s="180"/>
      <c r="F451" s="180"/>
      <c r="G451" s="180"/>
      <c r="H451" s="180"/>
      <c r="I451" s="180"/>
      <c r="J451" s="208"/>
    </row>
    <row r="452" spans="1:10" ht="23.4" x14ac:dyDescent="0.6">
      <c r="A452" s="180"/>
      <c r="B452" s="180"/>
      <c r="C452" s="180"/>
      <c r="D452" s="180"/>
      <c r="E452" s="180"/>
      <c r="F452" s="180"/>
      <c r="G452" s="180"/>
      <c r="H452" s="180"/>
      <c r="I452" s="180"/>
      <c r="J452" s="208"/>
    </row>
    <row r="453" spans="1:10" ht="23.4" x14ac:dyDescent="0.6">
      <c r="A453" s="180"/>
      <c r="B453" s="180"/>
      <c r="C453" s="180"/>
      <c r="D453" s="180"/>
      <c r="E453" s="180"/>
      <c r="F453" s="180"/>
      <c r="G453" s="180"/>
      <c r="H453" s="180"/>
      <c r="I453" s="180"/>
      <c r="J453" s="208"/>
    </row>
    <row r="454" spans="1:10" ht="23.4" x14ac:dyDescent="0.6">
      <c r="A454" s="180"/>
      <c r="B454" s="180"/>
      <c r="C454" s="180"/>
      <c r="D454" s="180"/>
      <c r="E454" s="180"/>
      <c r="F454" s="180"/>
      <c r="G454" s="180"/>
      <c r="H454" s="180"/>
      <c r="I454" s="180"/>
      <c r="J454" s="208"/>
    </row>
    <row r="455" spans="1:10" ht="23.4" x14ac:dyDescent="0.6">
      <c r="A455" s="180"/>
      <c r="B455" s="180"/>
      <c r="C455" s="180"/>
      <c r="D455" s="180"/>
      <c r="E455" s="180"/>
      <c r="F455" s="180"/>
      <c r="G455" s="180"/>
      <c r="H455" s="180"/>
      <c r="I455" s="180"/>
      <c r="J455" s="208"/>
    </row>
    <row r="456" spans="1:10" ht="23.4" x14ac:dyDescent="0.6">
      <c r="A456" s="180"/>
      <c r="B456" s="180"/>
      <c r="C456" s="180"/>
      <c r="D456" s="180"/>
      <c r="E456" s="180"/>
      <c r="F456" s="180"/>
      <c r="G456" s="180"/>
      <c r="H456" s="180"/>
      <c r="I456" s="180"/>
      <c r="J456" s="208"/>
    </row>
    <row r="457" spans="1:10" ht="23.4" x14ac:dyDescent="0.6">
      <c r="A457" s="180"/>
      <c r="B457" s="180"/>
      <c r="C457" s="180"/>
      <c r="D457" s="180"/>
      <c r="E457" s="180"/>
      <c r="F457" s="180"/>
      <c r="G457" s="180"/>
      <c r="H457" s="180"/>
      <c r="I457" s="180"/>
      <c r="J457" s="208"/>
    </row>
    <row r="458" spans="1:10" ht="23.4" x14ac:dyDescent="0.6">
      <c r="A458" s="180"/>
      <c r="B458" s="180"/>
      <c r="C458" s="180"/>
      <c r="D458" s="180"/>
      <c r="E458" s="180"/>
      <c r="F458" s="180"/>
      <c r="G458" s="180"/>
      <c r="H458" s="180"/>
      <c r="I458" s="180"/>
      <c r="J458" s="208"/>
    </row>
    <row r="459" spans="1:10" ht="23.4" x14ac:dyDescent="0.6">
      <c r="A459" s="180"/>
      <c r="B459" s="180"/>
      <c r="C459" s="180"/>
      <c r="D459" s="180"/>
      <c r="E459" s="180"/>
      <c r="F459" s="180"/>
      <c r="G459" s="180"/>
      <c r="H459" s="180"/>
      <c r="I459" s="180"/>
      <c r="J459" s="208"/>
    </row>
    <row r="460" spans="1:10" ht="23.4" x14ac:dyDescent="0.6">
      <c r="A460" s="180"/>
      <c r="B460" s="180"/>
      <c r="C460" s="180"/>
      <c r="D460" s="180"/>
      <c r="E460" s="180"/>
      <c r="F460" s="180"/>
      <c r="G460" s="180"/>
      <c r="H460" s="180"/>
      <c r="I460" s="180"/>
      <c r="J460" s="208"/>
    </row>
    <row r="461" spans="1:10" ht="23.4" x14ac:dyDescent="0.6">
      <c r="A461" s="180"/>
      <c r="B461" s="180"/>
      <c r="C461" s="180"/>
      <c r="D461" s="180"/>
      <c r="E461" s="180"/>
      <c r="F461" s="180"/>
      <c r="G461" s="180"/>
      <c r="H461" s="180"/>
      <c r="I461" s="180"/>
      <c r="J461" s="208"/>
    </row>
    <row r="462" spans="1:10" ht="23.4" x14ac:dyDescent="0.6">
      <c r="A462" s="180"/>
      <c r="B462" s="180"/>
      <c r="C462" s="180"/>
      <c r="D462" s="180"/>
      <c r="E462" s="180"/>
      <c r="F462" s="180"/>
      <c r="G462" s="180"/>
      <c r="H462" s="180"/>
      <c r="I462" s="180"/>
      <c r="J462" s="208"/>
    </row>
    <row r="463" spans="1:10" ht="23.4" x14ac:dyDescent="0.6">
      <c r="A463" s="180"/>
      <c r="B463" s="180"/>
      <c r="C463" s="180"/>
      <c r="D463" s="180"/>
      <c r="E463" s="180"/>
      <c r="F463" s="180"/>
      <c r="G463" s="180"/>
      <c r="H463" s="180"/>
      <c r="I463" s="180"/>
      <c r="J463" s="208"/>
    </row>
    <row r="464" spans="1:10" ht="23.4" x14ac:dyDescent="0.6">
      <c r="A464" s="180"/>
      <c r="B464" s="180"/>
      <c r="C464" s="180"/>
      <c r="D464" s="180"/>
      <c r="E464" s="180"/>
      <c r="F464" s="180"/>
      <c r="G464" s="180"/>
      <c r="H464" s="180"/>
      <c r="I464" s="180"/>
      <c r="J464" s="208"/>
    </row>
    <row r="465" spans="1:10" ht="23.4" x14ac:dyDescent="0.6">
      <c r="A465" s="180"/>
      <c r="B465" s="180"/>
      <c r="C465" s="180"/>
      <c r="D465" s="180"/>
      <c r="E465" s="180"/>
      <c r="F465" s="180"/>
      <c r="G465" s="180"/>
      <c r="H465" s="180"/>
      <c r="I465" s="180"/>
      <c r="J465" s="208"/>
    </row>
    <row r="466" spans="1:10" ht="23.4" x14ac:dyDescent="0.6">
      <c r="A466" s="180"/>
      <c r="B466" s="180"/>
      <c r="C466" s="180"/>
      <c r="D466" s="180"/>
      <c r="E466" s="180"/>
      <c r="F466" s="180"/>
      <c r="G466" s="180"/>
      <c r="H466" s="180"/>
      <c r="I466" s="180"/>
      <c r="J466" s="208"/>
    </row>
    <row r="467" spans="1:10" ht="23.4" x14ac:dyDescent="0.6">
      <c r="A467" s="180"/>
      <c r="B467" s="180"/>
      <c r="C467" s="180"/>
      <c r="D467" s="180"/>
      <c r="E467" s="180"/>
      <c r="F467" s="180"/>
      <c r="G467" s="180"/>
      <c r="H467" s="180"/>
      <c r="I467" s="180"/>
      <c r="J467" s="208"/>
    </row>
    <row r="468" spans="1:10" ht="23.4" x14ac:dyDescent="0.6">
      <c r="A468" s="180"/>
      <c r="B468" s="180"/>
      <c r="C468" s="180"/>
      <c r="D468" s="180"/>
      <c r="E468" s="180"/>
      <c r="F468" s="180"/>
      <c r="G468" s="180"/>
      <c r="H468" s="180"/>
      <c r="I468" s="180"/>
      <c r="J468" s="208"/>
    </row>
    <row r="469" spans="1:10" ht="23.4" x14ac:dyDescent="0.6">
      <c r="A469" s="180"/>
      <c r="B469" s="180"/>
      <c r="C469" s="180"/>
      <c r="D469" s="180"/>
      <c r="E469" s="180"/>
      <c r="F469" s="180"/>
      <c r="G469" s="180"/>
      <c r="H469" s="180"/>
      <c r="I469" s="180"/>
      <c r="J469" s="208"/>
    </row>
    <row r="470" spans="1:10" ht="23.4" x14ac:dyDescent="0.6">
      <c r="A470" s="180"/>
      <c r="B470" s="180"/>
      <c r="C470" s="180"/>
      <c r="D470" s="180"/>
      <c r="E470" s="180"/>
      <c r="F470" s="180"/>
      <c r="G470" s="180"/>
      <c r="H470" s="180"/>
      <c r="I470" s="180"/>
      <c r="J470" s="208"/>
    </row>
    <row r="471" spans="1:10" ht="23.4" x14ac:dyDescent="0.6">
      <c r="A471" s="180"/>
      <c r="B471" s="180"/>
      <c r="C471" s="180"/>
      <c r="D471" s="180"/>
      <c r="E471" s="180"/>
      <c r="F471" s="180"/>
      <c r="G471" s="180"/>
      <c r="H471" s="180"/>
      <c r="I471" s="180"/>
      <c r="J471" s="208"/>
    </row>
    <row r="472" spans="1:10" ht="23.4" x14ac:dyDescent="0.6">
      <c r="A472" s="180"/>
      <c r="B472" s="180"/>
      <c r="C472" s="180"/>
      <c r="D472" s="180"/>
      <c r="E472" s="180"/>
      <c r="F472" s="180"/>
      <c r="G472" s="180"/>
      <c r="H472" s="180"/>
      <c r="I472" s="180"/>
      <c r="J472" s="208"/>
    </row>
    <row r="473" spans="1:10" ht="23.4" x14ac:dyDescent="0.6">
      <c r="A473" s="180"/>
      <c r="B473" s="180"/>
      <c r="C473" s="180"/>
      <c r="D473" s="180"/>
      <c r="E473" s="180"/>
      <c r="F473" s="180"/>
      <c r="G473" s="180"/>
      <c r="H473" s="180"/>
      <c r="I473" s="180"/>
      <c r="J473" s="208"/>
    </row>
    <row r="474" spans="1:10" ht="23.4" x14ac:dyDescent="0.6">
      <c r="A474" s="180"/>
      <c r="B474" s="180"/>
      <c r="C474" s="180"/>
      <c r="D474" s="180"/>
      <c r="E474" s="180"/>
      <c r="F474" s="180"/>
      <c r="G474" s="180"/>
      <c r="H474" s="180"/>
      <c r="I474" s="180"/>
      <c r="J474" s="208"/>
    </row>
    <row r="475" spans="1:10" ht="23.4" x14ac:dyDescent="0.6">
      <c r="A475" s="180"/>
      <c r="B475" s="180"/>
      <c r="C475" s="180"/>
      <c r="D475" s="180"/>
      <c r="E475" s="180"/>
      <c r="F475" s="180"/>
      <c r="G475" s="180"/>
      <c r="H475" s="180"/>
      <c r="I475" s="180"/>
      <c r="J475" s="208"/>
    </row>
    <row r="476" spans="1:10" ht="23.4" x14ac:dyDescent="0.6">
      <c r="A476" s="180"/>
      <c r="B476" s="180"/>
      <c r="C476" s="180"/>
      <c r="D476" s="180"/>
      <c r="E476" s="180"/>
      <c r="F476" s="180"/>
      <c r="G476" s="180"/>
      <c r="H476" s="180"/>
      <c r="I476" s="180"/>
      <c r="J476" s="208"/>
    </row>
    <row r="477" spans="1:10" ht="23.4" x14ac:dyDescent="0.6">
      <c r="A477" s="180"/>
      <c r="B477" s="180"/>
      <c r="C477" s="180"/>
      <c r="D477" s="180"/>
      <c r="E477" s="180"/>
      <c r="F477" s="180"/>
      <c r="G477" s="180"/>
      <c r="H477" s="180"/>
      <c r="I477" s="180"/>
      <c r="J477" s="208"/>
    </row>
    <row r="478" spans="1:10" ht="23.4" x14ac:dyDescent="0.6">
      <c r="A478" s="180"/>
      <c r="B478" s="180"/>
      <c r="C478" s="180"/>
      <c r="D478" s="180"/>
      <c r="E478" s="180"/>
      <c r="F478" s="180"/>
      <c r="G478" s="180"/>
      <c r="H478" s="180"/>
      <c r="I478" s="180"/>
      <c r="J478" s="208"/>
    </row>
    <row r="479" spans="1:10" ht="23.4" x14ac:dyDescent="0.6">
      <c r="A479" s="180"/>
      <c r="B479" s="180"/>
      <c r="C479" s="180"/>
      <c r="D479" s="180"/>
      <c r="E479" s="180"/>
      <c r="F479" s="180"/>
      <c r="G479" s="180"/>
      <c r="H479" s="180"/>
      <c r="I479" s="180"/>
      <c r="J479" s="208"/>
    </row>
    <row r="480" spans="1:10" ht="23.4" x14ac:dyDescent="0.6">
      <c r="A480" s="180"/>
      <c r="B480" s="180"/>
      <c r="C480" s="180"/>
      <c r="D480" s="180"/>
      <c r="E480" s="180"/>
      <c r="F480" s="180"/>
      <c r="G480" s="180"/>
      <c r="H480" s="180"/>
      <c r="I480" s="180"/>
      <c r="J480" s="208"/>
    </row>
    <row r="481" spans="1:10" ht="23.4" x14ac:dyDescent="0.6">
      <c r="A481" s="180"/>
      <c r="B481" s="180"/>
      <c r="C481" s="180"/>
      <c r="D481" s="180"/>
      <c r="E481" s="180"/>
      <c r="F481" s="180"/>
      <c r="G481" s="180"/>
      <c r="H481" s="180"/>
      <c r="I481" s="180"/>
      <c r="J481" s="208"/>
    </row>
    <row r="482" spans="1:10" ht="23.4" x14ac:dyDescent="0.6">
      <c r="A482" s="180"/>
      <c r="B482" s="180"/>
      <c r="C482" s="180"/>
      <c r="D482" s="180"/>
      <c r="E482" s="180"/>
      <c r="F482" s="180"/>
      <c r="G482" s="180"/>
      <c r="H482" s="180"/>
      <c r="I482" s="180"/>
      <c r="J482" s="208"/>
    </row>
    <row r="483" spans="1:10" ht="23.4" x14ac:dyDescent="0.6">
      <c r="A483" s="180"/>
      <c r="B483" s="180"/>
      <c r="C483" s="180"/>
      <c r="D483" s="180"/>
      <c r="E483" s="180"/>
      <c r="F483" s="180"/>
      <c r="G483" s="180"/>
      <c r="H483" s="180"/>
      <c r="I483" s="180"/>
      <c r="J483" s="208"/>
    </row>
    <row r="484" spans="1:10" ht="23.4" x14ac:dyDescent="0.6">
      <c r="A484" s="180"/>
      <c r="B484" s="180"/>
      <c r="C484" s="180"/>
      <c r="D484" s="180"/>
      <c r="E484" s="180"/>
      <c r="F484" s="180"/>
      <c r="G484" s="180"/>
      <c r="H484" s="180"/>
      <c r="I484" s="180"/>
      <c r="J484" s="208"/>
    </row>
    <row r="485" spans="1:10" ht="23.4" x14ac:dyDescent="0.6">
      <c r="A485" s="180"/>
      <c r="B485" s="180"/>
      <c r="C485" s="180"/>
      <c r="D485" s="180"/>
      <c r="E485" s="180"/>
      <c r="F485" s="180"/>
      <c r="G485" s="180"/>
      <c r="H485" s="180"/>
      <c r="I485" s="180"/>
      <c r="J485" s="208"/>
    </row>
    <row r="486" spans="1:10" ht="23.4" x14ac:dyDescent="0.6">
      <c r="A486" s="180"/>
      <c r="B486" s="180"/>
      <c r="C486" s="180"/>
      <c r="D486" s="180"/>
      <c r="E486" s="180"/>
      <c r="F486" s="180"/>
      <c r="G486" s="180"/>
      <c r="H486" s="180"/>
      <c r="I486" s="180"/>
      <c r="J486" s="208"/>
    </row>
    <row r="487" spans="1:10" ht="23.4" x14ac:dyDescent="0.6">
      <c r="A487" s="180"/>
      <c r="B487" s="180"/>
      <c r="C487" s="180"/>
      <c r="D487" s="180"/>
      <c r="E487" s="180"/>
      <c r="F487" s="180"/>
      <c r="G487" s="180"/>
      <c r="H487" s="180"/>
      <c r="I487" s="180"/>
      <c r="J487" s="208"/>
    </row>
    <row r="488" spans="1:10" ht="23.4" x14ac:dyDescent="0.6">
      <c r="A488" s="180"/>
      <c r="B488" s="180"/>
      <c r="C488" s="180"/>
      <c r="D488" s="180"/>
      <c r="E488" s="180"/>
      <c r="F488" s="180"/>
      <c r="G488" s="180"/>
      <c r="H488" s="180"/>
      <c r="I488" s="180"/>
      <c r="J488" s="208"/>
    </row>
    <row r="489" spans="1:10" ht="23.4" x14ac:dyDescent="0.6">
      <c r="A489" s="180"/>
      <c r="B489" s="180"/>
      <c r="C489" s="180"/>
      <c r="D489" s="180"/>
      <c r="E489" s="180"/>
      <c r="F489" s="180"/>
      <c r="G489" s="180"/>
      <c r="H489" s="180"/>
      <c r="I489" s="180"/>
      <c r="J489" s="208"/>
    </row>
    <row r="490" spans="1:10" ht="23.4" x14ac:dyDescent="0.6">
      <c r="A490" s="180"/>
      <c r="B490" s="180"/>
      <c r="C490" s="180"/>
      <c r="D490" s="180"/>
      <c r="E490" s="180"/>
      <c r="F490" s="180"/>
      <c r="G490" s="180"/>
      <c r="H490" s="180"/>
      <c r="I490" s="180"/>
      <c r="J490" s="208"/>
    </row>
    <row r="491" spans="1:10" ht="23.4" x14ac:dyDescent="0.6">
      <c r="A491" s="180"/>
      <c r="B491" s="180"/>
      <c r="C491" s="180"/>
      <c r="D491" s="180"/>
      <c r="E491" s="180"/>
      <c r="F491" s="180"/>
      <c r="G491" s="180"/>
      <c r="H491" s="180"/>
      <c r="I491" s="180"/>
      <c r="J491" s="208"/>
    </row>
    <row r="492" spans="1:10" ht="23.4" x14ac:dyDescent="0.6">
      <c r="A492" s="180"/>
      <c r="B492" s="180"/>
      <c r="C492" s="180"/>
      <c r="D492" s="180"/>
      <c r="E492" s="180"/>
      <c r="F492" s="180"/>
      <c r="G492" s="180"/>
      <c r="H492" s="180"/>
      <c r="I492" s="180"/>
      <c r="J492" s="208"/>
    </row>
    <row r="493" spans="1:10" ht="23.4" x14ac:dyDescent="0.6">
      <c r="A493" s="180"/>
      <c r="B493" s="180"/>
      <c r="C493" s="180"/>
      <c r="D493" s="180"/>
      <c r="E493" s="180"/>
      <c r="F493" s="180"/>
      <c r="G493" s="180"/>
      <c r="H493" s="180"/>
      <c r="I493" s="180"/>
      <c r="J493" s="208"/>
    </row>
    <row r="494" spans="1:10" ht="23.4" x14ac:dyDescent="0.6">
      <c r="A494" s="180"/>
      <c r="B494" s="180"/>
      <c r="C494" s="180"/>
      <c r="D494" s="180"/>
      <c r="E494" s="180"/>
      <c r="F494" s="180"/>
      <c r="G494" s="180"/>
      <c r="H494" s="180"/>
      <c r="I494" s="180"/>
      <c r="J494" s="208"/>
    </row>
    <row r="495" spans="1:10" ht="23.4" x14ac:dyDescent="0.6">
      <c r="A495" s="180"/>
      <c r="B495" s="180"/>
      <c r="C495" s="180"/>
      <c r="D495" s="180"/>
      <c r="E495" s="180"/>
      <c r="F495" s="180"/>
      <c r="G495" s="180"/>
      <c r="H495" s="180"/>
      <c r="I495" s="180"/>
      <c r="J495" s="208"/>
    </row>
    <row r="496" spans="1:10" ht="23.4" x14ac:dyDescent="0.6">
      <c r="A496" s="180"/>
      <c r="B496" s="180"/>
      <c r="C496" s="180"/>
      <c r="D496" s="180"/>
      <c r="E496" s="180"/>
      <c r="F496" s="180"/>
      <c r="G496" s="180"/>
      <c r="H496" s="180"/>
      <c r="I496" s="180"/>
      <c r="J496" s="208"/>
    </row>
    <row r="497" spans="1:10" ht="23.4" x14ac:dyDescent="0.6">
      <c r="A497" s="180"/>
      <c r="B497" s="180"/>
      <c r="C497" s="180"/>
      <c r="D497" s="180"/>
      <c r="E497" s="180"/>
      <c r="F497" s="180"/>
      <c r="G497" s="180"/>
      <c r="H497" s="180"/>
      <c r="I497" s="180"/>
      <c r="J497" s="208"/>
    </row>
    <row r="498" spans="1:10" ht="23.4" x14ac:dyDescent="0.6">
      <c r="A498" s="180"/>
      <c r="B498" s="180"/>
      <c r="C498" s="180"/>
      <c r="D498" s="180"/>
      <c r="E498" s="180"/>
      <c r="F498" s="180"/>
      <c r="G498" s="180"/>
      <c r="H498" s="180"/>
      <c r="I498" s="180"/>
      <c r="J498" s="208"/>
    </row>
    <row r="499" spans="1:10" ht="23.4" x14ac:dyDescent="0.6">
      <c r="A499" s="180"/>
      <c r="B499" s="180"/>
      <c r="C499" s="180"/>
      <c r="D499" s="180"/>
      <c r="E499" s="180"/>
      <c r="F499" s="180"/>
      <c r="G499" s="180"/>
      <c r="H499" s="180"/>
      <c r="I499" s="180"/>
      <c r="J499" s="208"/>
    </row>
    <row r="500" spans="1:10" ht="23.4" x14ac:dyDescent="0.6">
      <c r="A500" s="180"/>
      <c r="B500" s="180"/>
      <c r="C500" s="180"/>
      <c r="D500" s="180"/>
      <c r="E500" s="180"/>
      <c r="F500" s="180"/>
      <c r="G500" s="180"/>
      <c r="H500" s="180"/>
      <c r="I500" s="180"/>
      <c r="J500" s="208"/>
    </row>
    <row r="1021" spans="14:14" ht="21" customHeight="1" x14ac:dyDescent="0.4">
      <c r="N1021" s="205"/>
    </row>
  </sheetData>
  <mergeCells count="24">
    <mergeCell ref="A5:D5"/>
    <mergeCell ref="A1:J1"/>
    <mergeCell ref="B2:C2"/>
    <mergeCell ref="E2:F2"/>
    <mergeCell ref="I2:J2"/>
    <mergeCell ref="B3:J4"/>
    <mergeCell ref="H25:J25"/>
    <mergeCell ref="A6:H6"/>
    <mergeCell ref="C7:H7"/>
    <mergeCell ref="D8:H8"/>
    <mergeCell ref="A9:H9"/>
    <mergeCell ref="C10:H10"/>
    <mergeCell ref="C11:H11"/>
    <mergeCell ref="D18:H18"/>
    <mergeCell ref="A21:H21"/>
    <mergeCell ref="C12:H12"/>
    <mergeCell ref="D13:H13"/>
    <mergeCell ref="A14:H14"/>
    <mergeCell ref="C15:H15"/>
    <mergeCell ref="C16:H16"/>
    <mergeCell ref="C17:H17"/>
    <mergeCell ref="A22:J22"/>
    <mergeCell ref="H23:J23"/>
    <mergeCell ref="H24:J24"/>
  </mergeCells>
  <printOptions horizontalCentered="1"/>
  <pageMargins left="0.59055118110236215" right="0.59055118110236215" top="0.59055118110236215" bottom="0.59055118110236215" header="0.59055118110236215" footer="0.59055118110236215"/>
  <pageSetup paperSize="9" fitToWidth="0" fitToHeight="0"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DA030-E35C-4E71-999D-9421C47C8F95}">
  <dimension ref="A1:C16"/>
  <sheetViews>
    <sheetView workbookViewId="0">
      <selection activeCell="A2" sqref="A2"/>
    </sheetView>
  </sheetViews>
  <sheetFormatPr defaultRowHeight="13.8" x14ac:dyDescent="0.25"/>
  <cols>
    <col min="1" max="1" width="68.59765625" customWidth="1"/>
    <col min="2" max="2" width="18.59765625" style="188" customWidth="1"/>
    <col min="3" max="3" width="10.59765625" style="189" customWidth="1"/>
  </cols>
  <sheetData>
    <row r="1" spans="1:3" x14ac:dyDescent="0.25">
      <c r="B1"/>
      <c r="C1"/>
    </row>
    <row r="2" spans="1:3" ht="21" x14ac:dyDescent="0.6">
      <c r="A2" s="211" t="s">
        <v>10</v>
      </c>
      <c r="B2" s="84"/>
      <c r="C2" s="212"/>
    </row>
    <row r="3" spans="1:3" ht="21" x14ac:dyDescent="0.6">
      <c r="A3" s="213" t="s">
        <v>303</v>
      </c>
      <c r="B3" s="84">
        <v>150467.82999999999</v>
      </c>
      <c r="C3" s="212" t="s">
        <v>0</v>
      </c>
    </row>
    <row r="4" spans="1:3" ht="21" x14ac:dyDescent="0.6">
      <c r="A4" s="213" t="s">
        <v>402</v>
      </c>
      <c r="B4" s="84">
        <v>3000</v>
      </c>
      <c r="C4" s="212" t="s">
        <v>0</v>
      </c>
    </row>
    <row r="5" spans="1:3" ht="21" x14ac:dyDescent="0.6">
      <c r="A5" s="213" t="s">
        <v>302</v>
      </c>
      <c r="B5" s="84">
        <v>5708.25</v>
      </c>
      <c r="C5" s="212" t="s">
        <v>0</v>
      </c>
    </row>
    <row r="6" spans="1:3" ht="21" x14ac:dyDescent="0.6">
      <c r="A6" s="211" t="s">
        <v>118</v>
      </c>
      <c r="B6" s="84"/>
      <c r="C6" s="212"/>
    </row>
    <row r="7" spans="1:3" ht="21" x14ac:dyDescent="0.6">
      <c r="A7" s="213" t="s">
        <v>409</v>
      </c>
      <c r="B7" s="84">
        <v>3000</v>
      </c>
      <c r="C7" s="212" t="s">
        <v>0</v>
      </c>
    </row>
    <row r="8" spans="1:3" ht="21" x14ac:dyDescent="0.6">
      <c r="A8" s="213" t="s">
        <v>305</v>
      </c>
      <c r="B8" s="84">
        <v>14000</v>
      </c>
      <c r="C8" s="212" t="s">
        <v>0</v>
      </c>
    </row>
    <row r="9" spans="1:3" ht="21" x14ac:dyDescent="0.6">
      <c r="A9" s="213" t="s">
        <v>39</v>
      </c>
      <c r="B9" s="84">
        <v>31835.22</v>
      </c>
      <c r="C9" s="212" t="s">
        <v>0</v>
      </c>
    </row>
    <row r="10" spans="1:3" ht="21" x14ac:dyDescent="0.6">
      <c r="A10" s="81" t="s">
        <v>41</v>
      </c>
      <c r="B10" s="84">
        <v>208011.3</v>
      </c>
      <c r="C10" s="212" t="s">
        <v>0</v>
      </c>
    </row>
    <row r="11" spans="1:3" ht="21" x14ac:dyDescent="0.6">
      <c r="A11" s="81" t="s">
        <v>8</v>
      </c>
      <c r="B11" s="84">
        <v>14560.79</v>
      </c>
      <c r="C11" s="212" t="s">
        <v>0</v>
      </c>
    </row>
    <row r="12" spans="1:3" ht="21" x14ac:dyDescent="0.6">
      <c r="A12" s="83" t="s">
        <v>335</v>
      </c>
      <c r="B12" s="87">
        <v>222572.09</v>
      </c>
      <c r="C12" s="214" t="s">
        <v>0</v>
      </c>
    </row>
    <row r="13" spans="1:3" ht="21" x14ac:dyDescent="0.6">
      <c r="A13" s="83" t="s">
        <v>336</v>
      </c>
      <c r="B13" s="87">
        <v>222572.09</v>
      </c>
      <c r="C13" s="214" t="s">
        <v>0</v>
      </c>
    </row>
    <row r="14" spans="1:3" ht="21" x14ac:dyDescent="0.6">
      <c r="A14" s="211" t="s">
        <v>11</v>
      </c>
      <c r="B14" s="84"/>
      <c r="C14" s="212"/>
    </row>
    <row r="15" spans="1:3" ht="21" x14ac:dyDescent="0.6">
      <c r="A15" s="213" t="s">
        <v>311</v>
      </c>
      <c r="B15" s="84">
        <v>1413</v>
      </c>
      <c r="C15" s="212" t="s">
        <v>0</v>
      </c>
    </row>
    <row r="16" spans="1:3" ht="21" x14ac:dyDescent="0.6">
      <c r="A16" s="83" t="s">
        <v>41</v>
      </c>
      <c r="B16" s="87">
        <v>1413</v>
      </c>
      <c r="C16" s="214" t="s">
        <v>0</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9310D-7964-4D76-84DF-EE85B540B3E7}">
  <sheetPr codeName="Sheet5"/>
  <dimension ref="A1:H16"/>
  <sheetViews>
    <sheetView tabSelected="1" showWhiteSpace="0" zoomScale="70" zoomScaleNormal="70" zoomScaleSheetLayoutView="100" zoomScalePageLayoutView="55" workbookViewId="0">
      <selection activeCell="J12" sqref="J12"/>
    </sheetView>
  </sheetViews>
  <sheetFormatPr defaultColWidth="8" defaultRowHeight="21" x14ac:dyDescent="0.4"/>
  <cols>
    <col min="1" max="1" width="10.09765625" style="1" customWidth="1"/>
    <col min="2" max="2" width="13.5" style="1" customWidth="1"/>
    <col min="3" max="3" width="8.3984375" style="1" customWidth="1"/>
    <col min="4" max="4" width="10.19921875" style="1" customWidth="1"/>
    <col min="5" max="5" width="9.69921875" style="1" customWidth="1"/>
    <col min="6" max="6" width="11" style="1" customWidth="1"/>
    <col min="7" max="7" width="11.19921875" style="1" customWidth="1"/>
    <col min="8" max="8" width="10.19921875" style="1" customWidth="1"/>
    <col min="9" max="9" width="10.09765625" style="1" customWidth="1"/>
    <col min="10" max="12" width="8" style="1"/>
    <col min="13" max="13" width="6.19921875" style="1" customWidth="1"/>
    <col min="14" max="14" width="8" style="1"/>
    <col min="15" max="15" width="4.5" style="1" customWidth="1"/>
    <col min="16" max="16" width="8" style="1"/>
    <col min="17" max="17" width="4.8984375" style="1" customWidth="1"/>
    <col min="18" max="18" width="8" style="1"/>
    <col min="19" max="19" width="8.69921875" style="1" customWidth="1"/>
    <col min="20" max="20" width="11.09765625" style="1" bestFit="1" customWidth="1"/>
    <col min="21" max="16384" width="8" style="1"/>
  </cols>
  <sheetData>
    <row r="1" spans="1:8" ht="32.25" customHeight="1" x14ac:dyDescent="0.4">
      <c r="C1" s="76" t="s">
        <v>15</v>
      </c>
      <c r="D1" s="75"/>
    </row>
    <row r="2" spans="1:8" ht="24" customHeight="1" x14ac:dyDescent="0.4">
      <c r="A2" s="74" t="s">
        <v>14</v>
      </c>
      <c r="B2" s="17"/>
      <c r="C2" s="74" t="s">
        <v>46</v>
      </c>
      <c r="D2" s="224" t="str">
        <f>IF(หน้าหลัก!E5 &lt;&gt;"",หน้าหลัก!B5&amp;หน้าหลัก!E5,"")</f>
        <v>TF09-0A3/690796</v>
      </c>
      <c r="E2" s="224"/>
    </row>
    <row r="3" spans="1:8" ht="24.75" customHeight="1" x14ac:dyDescent="0.4">
      <c r="A3" s="74" t="s">
        <v>34</v>
      </c>
      <c r="B3" s="225" t="str">
        <f>IF(หน้าหลัก!B2="","",หน้าหลัก!B2&amp;" ")
&amp;IF(หน้าหลัก!B4="","","บ้านเลขที่ "&amp;หน้าหลัก!B4&amp;" ")
&amp;IF(หน้าหลัก!C4="","","หมู่ "&amp;หน้าหลัก!C4&amp;" ")
&amp;IF(หน้าหลัก!D4="","","ซอย "&amp;หน้าหลัก!D4&amp;" ")
&amp;IF(หน้าหลัก!E4="","","ถนน"&amp;หน้าหลัก!E4&amp;" ")
&amp;IF(หน้าหลัก!F4="","","ตำบล"&amp;หน้าหลัก!F4&amp;" ")
&amp;IF(หน้าหลัก!G4="","","อำเภอ"&amp;หน้าหลัก!G4&amp;" ")
&amp;IF(หน้าหลัก!H4="","","จังหวัด"&amp;หน้าหลัก!H4&amp;" ")
&amp;IF(หน้าหลัก!I4="","",หน้าหลัก!I4)</f>
        <v>แขวงทางหลวงสงขลาที่ 1 หน้าศูนย์กระจายสินค้า (จุดที่ 2) บ้านเลขที่ หน้าศูนย์กระจายสินค้า (จุดที่ 2) ตำบลท่าช้าง อำเภอบางกล่ำ จังหวัดสงขลา 90110</v>
      </c>
      <c r="C3" s="225"/>
      <c r="D3" s="225"/>
      <c r="E3" s="225"/>
      <c r="F3" s="225"/>
      <c r="G3" s="225"/>
      <c r="H3" s="225"/>
    </row>
    <row r="4" spans="1:8" ht="21.6" thickBot="1" x14ac:dyDescent="0.45">
      <c r="A4" s="18"/>
      <c r="B4" s="226"/>
      <c r="C4" s="226"/>
      <c r="D4" s="226"/>
      <c r="E4" s="226"/>
      <c r="F4" s="226"/>
      <c r="G4" s="226"/>
      <c r="H4" s="226"/>
    </row>
    <row r="5" spans="1:8" ht="41.25" customHeight="1" thickTop="1" thickBot="1" x14ac:dyDescent="0.45">
      <c r="A5" s="227" t="s">
        <v>35</v>
      </c>
      <c r="B5" s="227"/>
      <c r="C5" s="227"/>
      <c r="D5" s="227"/>
      <c r="E5" s="227"/>
      <c r="F5" s="227"/>
      <c r="G5" s="227"/>
      <c r="H5" s="227"/>
    </row>
    <row r="6" spans="1:8" ht="21.6" thickTop="1" x14ac:dyDescent="0.4">
      <c r="A6" s="228" t="s">
        <v>36</v>
      </c>
      <c r="B6" s="228"/>
      <c r="C6" s="12"/>
      <c r="D6" s="17" t="s">
        <v>37</v>
      </c>
      <c r="E6" s="17" t="s">
        <v>38</v>
      </c>
      <c r="F6" s="72" t="s">
        <v>39</v>
      </c>
      <c r="G6" s="17" t="s">
        <v>40</v>
      </c>
      <c r="H6" s="17" t="s">
        <v>41</v>
      </c>
    </row>
    <row r="7" spans="1:8" ht="27.75" customHeight="1" thickBot="1" x14ac:dyDescent="0.45">
      <c r="A7" s="229"/>
      <c r="B7" s="229"/>
      <c r="C7" s="55"/>
      <c r="D7" s="194" t="s">
        <v>17</v>
      </c>
      <c r="E7" s="194" t="s">
        <v>42</v>
      </c>
      <c r="F7" s="194" t="s">
        <v>17</v>
      </c>
      <c r="G7" s="194" t="s">
        <v>43</v>
      </c>
      <c r="H7" s="55"/>
    </row>
    <row r="8" spans="1:8" ht="27.75" customHeight="1" thickTop="1" x14ac:dyDescent="0.4">
      <c r="A8" s="217" t="s">
        <v>303</v>
      </c>
      <c r="B8" s="218"/>
      <c r="D8" s="219">
        <v>150467.82999999999</v>
      </c>
      <c r="E8" s="220">
        <v>0.2</v>
      </c>
      <c r="F8" s="219">
        <v>30093.57</v>
      </c>
      <c r="G8" s="221"/>
      <c r="H8" s="13">
        <v>180561.4</v>
      </c>
    </row>
    <row r="9" spans="1:8" ht="27.75" customHeight="1" x14ac:dyDescent="0.4">
      <c r="A9" s="222" t="s">
        <v>402</v>
      </c>
      <c r="B9" s="218"/>
      <c r="D9" s="219">
        <v>3000</v>
      </c>
      <c r="E9" s="220">
        <v>0.2</v>
      </c>
      <c r="F9" s="219">
        <v>600</v>
      </c>
      <c r="G9" s="221"/>
      <c r="H9" s="13">
        <v>3600</v>
      </c>
    </row>
    <row r="10" spans="1:8" ht="27.75" customHeight="1" thickBot="1" x14ac:dyDescent="0.45">
      <c r="A10" s="175" t="s">
        <v>302</v>
      </c>
      <c r="B10" s="71"/>
      <c r="C10" s="18"/>
      <c r="D10" s="195">
        <v>5708.25</v>
      </c>
      <c r="E10" s="196">
        <v>0.2</v>
      </c>
      <c r="F10" s="195">
        <v>1141.6500000000001</v>
      </c>
      <c r="G10" s="197"/>
      <c r="H10" s="56">
        <v>6849.9</v>
      </c>
    </row>
    <row r="11" spans="1:8" ht="29.25" customHeight="1" thickTop="1" thickBot="1" x14ac:dyDescent="0.45">
      <c r="A11" s="230" t="s">
        <v>41</v>
      </c>
      <c r="B11" s="230"/>
      <c r="C11" s="60"/>
      <c r="D11" s="176">
        <v>159176.07999999999</v>
      </c>
      <c r="E11" s="59"/>
      <c r="F11" s="176">
        <v>31835.22</v>
      </c>
      <c r="G11" s="60"/>
      <c r="H11" s="178">
        <v>191011.3</v>
      </c>
    </row>
    <row r="12" spans="1:8" ht="32.25" customHeight="1" thickTop="1" thickBot="1" x14ac:dyDescent="0.45">
      <c r="A12" s="230" t="s">
        <v>39</v>
      </c>
      <c r="B12" s="230"/>
      <c r="C12" s="58"/>
      <c r="D12" s="59"/>
      <c r="E12" s="59"/>
      <c r="F12" s="177">
        <v>31835.22</v>
      </c>
      <c r="G12" s="60" t="s">
        <v>0</v>
      </c>
      <c r="H12" s="178">
        <v>31835.22</v>
      </c>
    </row>
    <row r="13" spans="1:8" ht="21.6" thickTop="1" x14ac:dyDescent="0.4"/>
    <row r="14" spans="1:8" x14ac:dyDescent="0.4">
      <c r="F14" s="12" t="s">
        <v>6</v>
      </c>
      <c r="G14" s="223" t="str">
        <f>INDEX('DB ชื่อพนักงาน'!C:C, MATCH(หน้าหลัก!D8, 'DB ชื่อพนักงาน'!A:A, 0))
&amp;
INDEX('DB ชื่อพนักงาน'!D:D, MATCH(หน้าหลัก!D8, 'DB ชื่อพนักงาน'!A:A, 0))
&amp;
" "
&amp;
INDEX('DB ชื่อพนักงาน'!E:E, MATCH(หน้าหลัก!D8, 'DB ชื่อพนักงาน'!A:A, 0))</f>
        <v>นายอภินัทธ์ แก้วมูณี</v>
      </c>
      <c r="H14" s="223"/>
    </row>
    <row r="15" spans="1:8" x14ac:dyDescent="0.4">
      <c r="F15" s="12" t="s">
        <v>5</v>
      </c>
      <c r="G15" s="223" t="str">
        <f>INDEX('DB ชื่อพนักงาน'!C:C, MATCH(หน้าหลัก!D9, 'DB ชื่อพนักงาน'!A:A, 0))
&amp;
INDEX('DB ชื่อพนักงาน'!D:D, MATCH(หน้าหลัก!D9, 'DB ชื่อพนักงาน'!A:A, 0))
&amp;
" "
&amp;
INDEX('DB ชื่อพนักงาน'!E:E, MATCH(หน้าหลัก!D9, 'DB ชื่อพนักงาน'!A:A, 0))</f>
        <v>นายอภินัทธ์ แก้วมูณี</v>
      </c>
      <c r="H15" s="223"/>
    </row>
    <row r="16" spans="1:8" x14ac:dyDescent="0.4">
      <c r="F16" s="12" t="s">
        <v>4</v>
      </c>
      <c r="G16" s="223" t="str">
        <f>INDEX('DB ชื่อพนักงาน'!C:C, MATCH(หน้าหลัก!D10, 'DB ชื่อพนักงาน'!A:A, 0))
&amp;
INDEX('DB ชื่อพนักงาน'!D:D, MATCH(หน้าหลัก!D10, 'DB ชื่อพนักงาน'!A:A, 0))
&amp;
" "
&amp;
INDEX('DB ชื่อพนักงาน'!E:E, MATCH(หน้าหลัก!D10, 'DB ชื่อพนักงาน'!A:A, 0))</f>
        <v>นายธีรพงศ์ นาพนัง</v>
      </c>
      <c r="H16" s="223"/>
    </row>
  </sheetData>
  <mergeCells count="9">
    <mergeCell ref="G14:H14"/>
    <mergeCell ref="G15:H15"/>
    <mergeCell ref="G16:H16"/>
    <mergeCell ref="D2:E2"/>
    <mergeCell ref="B3:H4"/>
    <mergeCell ref="A5:H5"/>
    <mergeCell ref="A6:B7"/>
    <mergeCell ref="A11:B11"/>
    <mergeCell ref="A12:B12"/>
  </mergeCells>
  <pageMargins left="0.59055118110236215" right="0.59055118110236215" top="0.59055118110236215" bottom="0.59055118110236215" header="0.59055118110236215" footer="0.59055118110236215"/>
  <pageSetup paperSize="9" fitToWidth="0"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5</vt:i4>
      </vt:variant>
    </vt:vector>
  </HeadingPairs>
  <TitlesOfParts>
    <vt:vector size="34" baseType="lpstr">
      <vt:lpstr>T&gt;500</vt:lpstr>
      <vt:lpstr>T400</vt:lpstr>
      <vt:lpstr>T250-315</vt:lpstr>
      <vt:lpstr>T30-160</vt:lpstr>
      <vt:lpstr>T &gt;500</vt:lpstr>
      <vt:lpstr>T 400</vt:lpstr>
      <vt:lpstr>T 250-315</vt:lpstr>
      <vt:lpstr>T 30-160</vt:lpstr>
      <vt:lpstr>Print</vt:lpstr>
      <vt:lpstr>Customertable</vt:lpstr>
      <vt:lpstr>หน้าหลัก</vt:lpstr>
      <vt:lpstr>topea</vt:lpstr>
      <vt:lpstr>tocustomer</vt:lpstr>
      <vt:lpstr>profit_template</vt:lpstr>
      <vt:lpstr>DB ชื่อพนักงาน</vt:lpstr>
      <vt:lpstr>DB รายการสรุปค่าใช้จ่าย</vt:lpstr>
      <vt:lpstr>DB ค่าใช้จ่ายลูกค้าลงทุน</vt:lpstr>
      <vt:lpstr>DB ค่าใช้จ่ายกฟภลงทุน</vt:lpstr>
      <vt:lpstr>summary_expand</vt:lpstr>
      <vt:lpstr>Hotline</vt:lpstr>
      <vt:lpstr>tableexpend</vt:lpstr>
      <vt:lpstr>Who</vt:lpstr>
      <vt:lpstr>รายการชุดกราวด์</vt:lpstr>
      <vt:lpstr>ข้อมูลรายการชำระเงิน</vt:lpstr>
      <vt:lpstr>Turnkey</vt:lpstr>
      <vt:lpstr>summary_Template</vt:lpstr>
      <vt:lpstr>summary_report</vt:lpstr>
      <vt:lpstr>summary_subtopic_table</vt:lpstr>
      <vt:lpstr>profit</vt:lpstr>
      <vt:lpstr>Hotline!Print_Area</vt:lpstr>
      <vt:lpstr>profit!Print_Area</vt:lpstr>
      <vt:lpstr>profit_template!Print_Area</vt:lpstr>
      <vt:lpstr>summary_report!Print_Area</vt:lpstr>
      <vt:lpstr>summary_Template!Print_Area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Apinut Kaewmunee</dc:creator>
  <cp:lastModifiedBy>อภินัทธ์ แก้วมูณี</cp:lastModifiedBy>
  <cp:lastPrinted>2026-07-23T07:55:46Z</cp:lastPrinted>
  <dcterms:created xsi:type="dcterms:W3CDTF">2015-06-05T18:17:20Z</dcterms:created>
  <dcterms:modified xsi:type="dcterms:W3CDTF">2026-08-17T15:50:38Z</dcterms:modified>
</cp:coreProperties>
</file>